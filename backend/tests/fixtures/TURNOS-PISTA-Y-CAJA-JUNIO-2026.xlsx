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3E6475-B956-6246-AA44-4F2843EAC849}" xr6:coauthVersionLast="47" xr6:coauthVersionMax="47" xr10:uidLastSave="{00000000-0000-0000-0000-000000000000}"/>
  <bookViews>
    <workbookView xWindow="-105" yWindow="0" windowWidth="14610" windowHeight="17385" activeTab="2" xr2:uid="{BD88C4EE-FC77-A64B-A395-14894BDF4004}"/>
  </bookViews>
  <sheets>
    <sheet name="CACAO 1" sheetId="4" r:id="rId1"/>
    <sheet name="Hoja1" sheetId="7" r:id="rId2"/>
    <sheet name="Hoja2" sheetId="8" r:id="rId3"/>
    <sheet name="CAJA CACAO" sheetId="3" r:id="rId4"/>
    <sheet name="TRUCK STOP" sheetId="2" r:id="rId5"/>
    <sheet name="CAJA TRUCK STO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9" i="8" l="1"/>
  <c r="K151" i="8"/>
  <c r="J151" i="8"/>
  <c r="I151" i="8"/>
  <c r="F151" i="8"/>
  <c r="E151" i="8"/>
  <c r="D151" i="8"/>
  <c r="K150" i="8"/>
  <c r="J150" i="8"/>
  <c r="I150" i="8"/>
  <c r="F150" i="8"/>
  <c r="E150" i="8"/>
  <c r="D150" i="8"/>
  <c r="K149" i="8"/>
  <c r="J149" i="8"/>
  <c r="I149" i="8"/>
  <c r="F149" i="8"/>
  <c r="E149" i="8"/>
  <c r="D149" i="8"/>
  <c r="K148" i="8"/>
  <c r="J148" i="8"/>
  <c r="I148" i="8"/>
  <c r="F148" i="8"/>
  <c r="G148" i="8" s="1"/>
  <c r="E148" i="8"/>
  <c r="D148" i="8"/>
  <c r="K147" i="8"/>
  <c r="J147" i="8"/>
  <c r="I147" i="8"/>
  <c r="F147" i="8"/>
  <c r="E147" i="8"/>
  <c r="D147" i="8"/>
  <c r="K146" i="8"/>
  <c r="J146" i="8"/>
  <c r="I146" i="8"/>
  <c r="F146" i="8"/>
  <c r="E146" i="8"/>
  <c r="D146" i="8"/>
  <c r="K145" i="8"/>
  <c r="J145" i="8"/>
  <c r="I145" i="8"/>
  <c r="F145" i="8"/>
  <c r="E145" i="8"/>
  <c r="D145" i="8"/>
  <c r="K144" i="8"/>
  <c r="J144" i="8"/>
  <c r="I144" i="8"/>
  <c r="F144" i="8"/>
  <c r="G144" i="8" s="1"/>
  <c r="E144" i="8"/>
  <c r="D144" i="8"/>
  <c r="I138" i="8"/>
  <c r="H138" i="8"/>
  <c r="G138" i="8"/>
  <c r="F138" i="8"/>
  <c r="E138" i="8"/>
  <c r="D138" i="8"/>
  <c r="C138" i="8"/>
  <c r="I116" i="8"/>
  <c r="H116" i="8"/>
  <c r="G116" i="8"/>
  <c r="F116" i="8"/>
  <c r="E116" i="8"/>
  <c r="D116" i="8"/>
  <c r="C116" i="8"/>
  <c r="I94" i="8"/>
  <c r="H94" i="8"/>
  <c r="G94" i="8"/>
  <c r="F94" i="8"/>
  <c r="E94" i="8"/>
  <c r="D94" i="8"/>
  <c r="C94" i="8"/>
  <c r="I73" i="8"/>
  <c r="H73" i="8"/>
  <c r="G73" i="8"/>
  <c r="F73" i="8"/>
  <c r="E73" i="8"/>
  <c r="D73" i="8"/>
  <c r="C73" i="8"/>
  <c r="I52" i="8"/>
  <c r="H52" i="8"/>
  <c r="G52" i="8"/>
  <c r="F52" i="8"/>
  <c r="E52" i="8"/>
  <c r="D52" i="8"/>
  <c r="C52" i="8"/>
  <c r="I31" i="8"/>
  <c r="H31" i="8"/>
  <c r="G31" i="8"/>
  <c r="F31" i="8"/>
  <c r="E31" i="8"/>
  <c r="D31" i="8"/>
  <c r="C31" i="8"/>
  <c r="I138" i="7"/>
  <c r="H138" i="7"/>
  <c r="G138" i="7"/>
  <c r="F138" i="7"/>
  <c r="E138" i="7"/>
  <c r="D138" i="7"/>
  <c r="C138" i="7"/>
  <c r="D144" i="7"/>
  <c r="E144" i="7"/>
  <c r="F144" i="7"/>
  <c r="I144" i="7"/>
  <c r="J144" i="7"/>
  <c r="K144" i="7"/>
  <c r="D145" i="7"/>
  <c r="E145" i="7"/>
  <c r="F145" i="7"/>
  <c r="I145" i="7"/>
  <c r="J145" i="7"/>
  <c r="K145" i="7"/>
  <c r="E159" i="7"/>
  <c r="K151" i="7"/>
  <c r="J151" i="7"/>
  <c r="I151" i="7"/>
  <c r="F151" i="7"/>
  <c r="E151" i="7"/>
  <c r="D151" i="7"/>
  <c r="K150" i="7"/>
  <c r="J150" i="7"/>
  <c r="I150" i="7"/>
  <c r="F150" i="7"/>
  <c r="E150" i="7"/>
  <c r="D150" i="7"/>
  <c r="K149" i="7"/>
  <c r="J149" i="7"/>
  <c r="I149" i="7"/>
  <c r="F149" i="7"/>
  <c r="E149" i="7"/>
  <c r="D149" i="7"/>
  <c r="K148" i="7"/>
  <c r="J148" i="7"/>
  <c r="I148" i="7"/>
  <c r="F148" i="7"/>
  <c r="E148" i="7"/>
  <c r="D148" i="7"/>
  <c r="K147" i="7"/>
  <c r="J147" i="7"/>
  <c r="I147" i="7"/>
  <c r="F147" i="7"/>
  <c r="E147" i="7"/>
  <c r="D147" i="7"/>
  <c r="K146" i="7"/>
  <c r="J146" i="7"/>
  <c r="I146" i="7"/>
  <c r="F146" i="7"/>
  <c r="E146" i="7"/>
  <c r="D146" i="7"/>
  <c r="I116" i="7"/>
  <c r="H116" i="7"/>
  <c r="G116" i="7"/>
  <c r="F116" i="7"/>
  <c r="E116" i="7"/>
  <c r="D116" i="7"/>
  <c r="C116" i="7"/>
  <c r="I94" i="7"/>
  <c r="H94" i="7"/>
  <c r="G94" i="7"/>
  <c r="F94" i="7"/>
  <c r="E94" i="7"/>
  <c r="D94" i="7"/>
  <c r="C94" i="7"/>
  <c r="I73" i="7"/>
  <c r="H73" i="7"/>
  <c r="G73" i="7"/>
  <c r="F73" i="7"/>
  <c r="E73" i="7"/>
  <c r="D73" i="7"/>
  <c r="C73" i="7"/>
  <c r="I52" i="7"/>
  <c r="H52" i="7"/>
  <c r="G52" i="7"/>
  <c r="F52" i="7"/>
  <c r="E52" i="7"/>
  <c r="D52" i="7"/>
  <c r="C52" i="7"/>
  <c r="I31" i="7"/>
  <c r="H31" i="7"/>
  <c r="G31" i="7"/>
  <c r="F31" i="7"/>
  <c r="E31" i="7"/>
  <c r="D31" i="7"/>
  <c r="C31" i="7"/>
  <c r="I130" i="2"/>
  <c r="H130" i="2"/>
  <c r="G130" i="2"/>
  <c r="F130" i="2"/>
  <c r="E130" i="2"/>
  <c r="D130" i="2"/>
  <c r="C130" i="2"/>
  <c r="E150" i="2"/>
  <c r="K143" i="2"/>
  <c r="J143" i="2"/>
  <c r="I143" i="2"/>
  <c r="F143" i="2"/>
  <c r="E143" i="2"/>
  <c r="D143" i="2"/>
  <c r="K142" i="2"/>
  <c r="J142" i="2"/>
  <c r="I142" i="2"/>
  <c r="F142" i="2"/>
  <c r="E142" i="2"/>
  <c r="D142" i="2"/>
  <c r="K141" i="2"/>
  <c r="J141" i="2"/>
  <c r="I141" i="2"/>
  <c r="F141" i="2"/>
  <c r="E141" i="2"/>
  <c r="D141" i="2"/>
  <c r="K140" i="2"/>
  <c r="J140" i="2"/>
  <c r="I140" i="2"/>
  <c r="F140" i="2"/>
  <c r="E140" i="2"/>
  <c r="D140" i="2"/>
  <c r="K139" i="2"/>
  <c r="J139" i="2"/>
  <c r="I139" i="2"/>
  <c r="F139" i="2"/>
  <c r="E139" i="2"/>
  <c r="D139" i="2"/>
  <c r="K138" i="2"/>
  <c r="J138" i="2"/>
  <c r="I138" i="2"/>
  <c r="F138" i="2"/>
  <c r="E138" i="2"/>
  <c r="D138" i="2"/>
  <c r="N137" i="2"/>
  <c r="K137" i="2"/>
  <c r="J137" i="2"/>
  <c r="I137" i="2"/>
  <c r="F137" i="2"/>
  <c r="E137" i="2"/>
  <c r="D137" i="2"/>
  <c r="K136" i="2"/>
  <c r="J136" i="2"/>
  <c r="I136" i="2"/>
  <c r="F136" i="2"/>
  <c r="E136" i="2"/>
  <c r="D136" i="2"/>
  <c r="I110" i="2"/>
  <c r="H110" i="2"/>
  <c r="G110" i="2"/>
  <c r="F110" i="2"/>
  <c r="E110" i="2"/>
  <c r="D110" i="2"/>
  <c r="C110" i="2"/>
  <c r="I90" i="2"/>
  <c r="H90" i="2"/>
  <c r="G90" i="2"/>
  <c r="F90" i="2"/>
  <c r="E90" i="2"/>
  <c r="D90" i="2"/>
  <c r="C90" i="2"/>
  <c r="I70" i="2"/>
  <c r="H70" i="2"/>
  <c r="G70" i="2"/>
  <c r="F70" i="2"/>
  <c r="E70" i="2"/>
  <c r="D70" i="2"/>
  <c r="C70" i="2"/>
  <c r="I49" i="2"/>
  <c r="H49" i="2"/>
  <c r="G49" i="2"/>
  <c r="F49" i="2"/>
  <c r="E49" i="2"/>
  <c r="D49" i="2"/>
  <c r="C49" i="2"/>
  <c r="I28" i="2"/>
  <c r="H28" i="2"/>
  <c r="G28" i="2"/>
  <c r="F28" i="2"/>
  <c r="E28" i="2"/>
  <c r="D28" i="2"/>
  <c r="C28" i="2"/>
  <c r="M13" i="3"/>
  <c r="AG12" i="3"/>
  <c r="AG11" i="3"/>
  <c r="AG10" i="3"/>
  <c r="AD10" i="3"/>
  <c r="AG9" i="3"/>
  <c r="AG8" i="3"/>
  <c r="E152" i="8" l="1"/>
  <c r="J152" i="8"/>
  <c r="I152" i="8"/>
  <c r="L145" i="8"/>
  <c r="L146" i="8"/>
  <c r="L150" i="8"/>
  <c r="L149" i="8"/>
  <c r="G151" i="8"/>
  <c r="G146" i="8"/>
  <c r="G150" i="8"/>
  <c r="G147" i="8"/>
  <c r="L144" i="8"/>
  <c r="L148" i="8"/>
  <c r="L147" i="8"/>
  <c r="L151" i="8"/>
  <c r="D152" i="8"/>
  <c r="G145" i="8"/>
  <c r="G149" i="8"/>
  <c r="F152" i="8"/>
  <c r="K152" i="8"/>
  <c r="L144" i="7"/>
  <c r="G145" i="7"/>
  <c r="G144" i="7"/>
  <c r="L145" i="7"/>
  <c r="J152" i="7"/>
  <c r="E152" i="7"/>
  <c r="L146" i="7"/>
  <c r="L150" i="7"/>
  <c r="G151" i="7"/>
  <c r="G148" i="7"/>
  <c r="L149" i="7"/>
  <c r="I152" i="7"/>
  <c r="G147" i="7"/>
  <c r="G146" i="7"/>
  <c r="G150" i="7"/>
  <c r="L148" i="7"/>
  <c r="L147" i="7"/>
  <c r="L151" i="7"/>
  <c r="D152" i="7"/>
  <c r="G149" i="7"/>
  <c r="F152" i="7"/>
  <c r="K152" i="7"/>
  <c r="J144" i="2"/>
  <c r="I144" i="2"/>
  <c r="L137" i="2"/>
  <c r="L138" i="2"/>
  <c r="L142" i="2"/>
  <c r="L141" i="2"/>
  <c r="L140" i="2"/>
  <c r="L136" i="2"/>
  <c r="L139" i="2"/>
  <c r="L143" i="2"/>
  <c r="G137" i="2"/>
  <c r="G136" i="2"/>
  <c r="G140" i="2"/>
  <c r="G138" i="2"/>
  <c r="G143" i="2"/>
  <c r="E144" i="2"/>
  <c r="G142" i="2"/>
  <c r="D144" i="2"/>
  <c r="F144" i="2"/>
  <c r="G139" i="2"/>
  <c r="G141" i="2"/>
  <c r="K144" i="2"/>
  <c r="G152" i="8" l="1"/>
  <c r="L152" i="8"/>
  <c r="E157" i="8"/>
  <c r="L152" i="7"/>
  <c r="G152" i="7"/>
  <c r="E157" i="7"/>
  <c r="L144" i="2"/>
  <c r="G144" i="2"/>
  <c r="E148" i="2"/>
  <c r="E136" i="4" l="1"/>
  <c r="K128" i="4"/>
  <c r="J128" i="4"/>
  <c r="I128" i="4"/>
  <c r="F128" i="4"/>
  <c r="E128" i="4"/>
  <c r="D128" i="4"/>
  <c r="K127" i="4"/>
  <c r="J127" i="4"/>
  <c r="I127" i="4"/>
  <c r="F127" i="4"/>
  <c r="E127" i="4"/>
  <c r="D127" i="4"/>
  <c r="K126" i="4"/>
  <c r="J126" i="4"/>
  <c r="I126" i="4"/>
  <c r="F126" i="4"/>
  <c r="E126" i="4"/>
  <c r="D126" i="4"/>
  <c r="K125" i="4"/>
  <c r="J125" i="4"/>
  <c r="I125" i="4"/>
  <c r="F125" i="4"/>
  <c r="E125" i="4"/>
  <c r="D125" i="4"/>
  <c r="K124" i="4"/>
  <c r="J124" i="4"/>
  <c r="I124" i="4"/>
  <c r="F124" i="4"/>
  <c r="E124" i="4"/>
  <c r="D124" i="4"/>
  <c r="K123" i="4"/>
  <c r="J123" i="4"/>
  <c r="I123" i="4"/>
  <c r="F123" i="4"/>
  <c r="E123" i="4"/>
  <c r="D123" i="4"/>
  <c r="K122" i="4"/>
  <c r="J122" i="4"/>
  <c r="I122" i="4"/>
  <c r="F122" i="4"/>
  <c r="E122" i="4"/>
  <c r="D122" i="4"/>
  <c r="K121" i="4"/>
  <c r="J121" i="4"/>
  <c r="I121" i="4"/>
  <c r="F121" i="4"/>
  <c r="E121" i="4"/>
  <c r="D121" i="4"/>
  <c r="I116" i="4"/>
  <c r="H116" i="4"/>
  <c r="G116" i="4"/>
  <c r="F116" i="4"/>
  <c r="E116" i="4"/>
  <c r="D116" i="4"/>
  <c r="C116" i="4"/>
  <c r="I94" i="4"/>
  <c r="H94" i="4"/>
  <c r="G94" i="4"/>
  <c r="F94" i="4"/>
  <c r="E94" i="4"/>
  <c r="D94" i="4"/>
  <c r="C94" i="4"/>
  <c r="I73" i="4"/>
  <c r="H73" i="4"/>
  <c r="G73" i="4"/>
  <c r="F73" i="4"/>
  <c r="E73" i="4"/>
  <c r="D73" i="4"/>
  <c r="C73" i="4"/>
  <c r="I52" i="4"/>
  <c r="H52" i="4"/>
  <c r="G52" i="4"/>
  <c r="F52" i="4"/>
  <c r="E52" i="4"/>
  <c r="D52" i="4"/>
  <c r="C52" i="4"/>
  <c r="I31" i="4"/>
  <c r="H31" i="4"/>
  <c r="G31" i="4"/>
  <c r="F31" i="4"/>
  <c r="E31" i="4"/>
  <c r="D31" i="4"/>
  <c r="C31" i="4"/>
  <c r="G121" i="4" l="1"/>
  <c r="I129" i="4"/>
  <c r="L123" i="4"/>
  <c r="L127" i="4"/>
  <c r="L121" i="4"/>
  <c r="L125" i="4"/>
  <c r="L122" i="4"/>
  <c r="J129" i="4"/>
  <c r="L124" i="4"/>
  <c r="L128" i="4"/>
  <c r="L126" i="4"/>
  <c r="G128" i="4"/>
  <c r="G125" i="4"/>
  <c r="G127" i="4"/>
  <c r="G124" i="4"/>
  <c r="G123" i="4"/>
  <c r="G126" i="4"/>
  <c r="G122" i="4"/>
  <c r="D129" i="4"/>
  <c r="E129" i="4"/>
  <c r="F129" i="4"/>
  <c r="K129" i="4"/>
  <c r="L129" i="4" l="1"/>
  <c r="G129" i="4"/>
  <c r="E1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43" authorId="0" shapeId="0" xr:uid="{2C0449BF-D960-F14E-BA84-E1D925A500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R52" authorId="0" shapeId="0" xr:uid="{0E2C657C-2796-084B-910F-2493D892FA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36" authorId="0" shapeId="0" xr:uid="{FA2EE672-7E80-B24F-8EBF-52A2ECE34F6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52" authorId="0" shapeId="0" xr:uid="{1A592A98-AD5E-A44A-8BBE-A97F44BD287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59" authorId="0" shapeId="0" xr:uid="{385E98DA-961B-AF45-BBD3-4D8C1E3B44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52" authorId="0" shapeId="0" xr:uid="{72AE4585-F7CF-9247-B013-F70C1299E3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59" authorId="0" shapeId="0" xr:uid="{DE623296-820E-B145-8C61-4E8F0C2230E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0" authorId="0" shapeId="0" xr:uid="{78C1A0CF-C218-FC4D-AD1F-6F1944C45DC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F11" authorId="0" shapeId="0" xr:uid="{4FE04EC6-FC2E-0140-B957-753FBAE914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G20" authorId="0" shapeId="0" xr:uid="{0E7B1FF3-0142-554F-9EBF-B38AE4302C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este dia milton no se presento a trabajar norlan hizo el turno </t>
        </r>
      </text>
    </comment>
    <comment ref="R40" authorId="0" shapeId="0" xr:uid="{7CDC13EF-67B0-A448-87E1-EDF4B92352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C43" authorId="0" shapeId="0" xr:uid="{23969BCB-0641-EF48-94A0-6FA5C805A721}">
      <text>
        <r>
          <rPr>
            <b/>
            <sz val="9"/>
            <color rgb="FF000000"/>
            <rFont val="Tahoma"/>
            <family val="2"/>
          </rPr>
          <t xml:space="preserve">adm
</t>
        </r>
        <r>
          <rPr>
            <b/>
            <sz val="9"/>
            <color rgb="FF000000"/>
            <rFont val="Tahoma"/>
            <family val="2"/>
          </rPr>
          <t xml:space="preserve">Hector
</t>
        </r>
        <r>
          <rPr>
            <b/>
            <sz val="9"/>
            <color rgb="FF000000"/>
            <rFont val="Tahoma"/>
            <family val="2"/>
          </rPr>
          <t>lo quitamos para efectos de feriado</t>
        </r>
      </text>
    </comment>
    <comment ref="R49" authorId="0" shapeId="0" xr:uid="{C40174B6-F50F-224B-BE75-7263569B7F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50" authorId="0" shapeId="0" xr:uid="{4670F2ED-5458-0940-8562-C66E1F68EDC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sharedStrings.xml><?xml version="1.0" encoding="utf-8"?>
<sst xmlns="http://schemas.openxmlformats.org/spreadsheetml/2006/main" count="2586" uniqueCount="145">
  <si>
    <t xml:space="preserve">CORPORACION ROD, S.A. </t>
  </si>
  <si>
    <t>E/S CACAO ROD</t>
  </si>
  <si>
    <t>SEMANA 1</t>
  </si>
  <si>
    <t>TURNO/DIA</t>
  </si>
  <si>
    <t>Edgar</t>
  </si>
  <si>
    <t xml:space="preserve">Turno A </t>
  </si>
  <si>
    <t>Jose</t>
  </si>
  <si>
    <t>Edwin</t>
  </si>
  <si>
    <t>Joel</t>
  </si>
  <si>
    <t>Luis D</t>
  </si>
  <si>
    <t>Rene</t>
  </si>
  <si>
    <t>Julio</t>
  </si>
  <si>
    <t>Libre</t>
  </si>
  <si>
    <t>Jose Alej</t>
  </si>
  <si>
    <t>Lester</t>
  </si>
  <si>
    <t>Feriado</t>
  </si>
  <si>
    <t>Mario</t>
  </si>
  <si>
    <t>Vacaciones</t>
  </si>
  <si>
    <t>Turno B</t>
  </si>
  <si>
    <t>SEMANA 2</t>
  </si>
  <si>
    <t>SEMANA 3</t>
  </si>
  <si>
    <t>SEMANA 4</t>
  </si>
  <si>
    <t>SEMANA 5</t>
  </si>
  <si>
    <t>Mier. 01/04</t>
  </si>
  <si>
    <t>Jueves 02/04</t>
  </si>
  <si>
    <t>Viernes 03/04</t>
  </si>
  <si>
    <t>Domingo 05/04</t>
  </si>
  <si>
    <t>PRIMERA QUINCENA</t>
  </si>
  <si>
    <t>SEGUNDA QUINCENA CACAO</t>
  </si>
  <si>
    <t>A</t>
  </si>
  <si>
    <t>B</t>
  </si>
  <si>
    <t>Fer/libr/ Vac</t>
  </si>
  <si>
    <t>Total</t>
  </si>
  <si>
    <t>OCT</t>
  </si>
  <si>
    <t>NOV</t>
  </si>
  <si>
    <t>para el 21 de noviembre</t>
  </si>
  <si>
    <t>nota sumar los dias libres deben ser</t>
  </si>
  <si>
    <t xml:space="preserve">turnos en total </t>
  </si>
  <si>
    <t>Cuadro de Turnos mes de Junio 2026</t>
  </si>
  <si>
    <t>semana santa 2026 02-03-04 abril, 14 abril dia americas(20) y 01 mayo dia del trbajo</t>
  </si>
  <si>
    <t>jueves02</t>
  </si>
  <si>
    <t>viernes03</t>
  </si>
  <si>
    <t>sabado04</t>
  </si>
  <si>
    <t>lunes20</t>
  </si>
  <si>
    <t>Sábado 04/04</t>
  </si>
  <si>
    <t>Pendiente</t>
  </si>
  <si>
    <t>Tomado</t>
  </si>
  <si>
    <t>Mier. 3/6</t>
  </si>
  <si>
    <t>Martes 2/6</t>
  </si>
  <si>
    <t>Lunes 1/6</t>
  </si>
  <si>
    <t>Jueves 4/6</t>
  </si>
  <si>
    <t>Viernes 5/6</t>
  </si>
  <si>
    <t>Cajeros</t>
  </si>
  <si>
    <t>CACAO</t>
  </si>
  <si>
    <t>MORAZ</t>
  </si>
  <si>
    <t>NAVIDAD</t>
  </si>
  <si>
    <t>DIC</t>
  </si>
  <si>
    <t>ENERO</t>
  </si>
  <si>
    <t>FEBR</t>
  </si>
  <si>
    <t>MARZ</t>
  </si>
  <si>
    <t>SALDO</t>
  </si>
  <si>
    <r>
      <rPr>
        <b/>
        <sz val="11"/>
        <color theme="2" tint="-0.499984740745262"/>
        <rFont val="Aptos Narrow"/>
        <family val="2"/>
        <scheme val="minor"/>
      </rPr>
      <t xml:space="preserve">Rony, </t>
    </r>
    <r>
      <rPr>
        <b/>
        <sz val="11"/>
        <color theme="1"/>
        <rFont val="Aptos Narrow"/>
        <family val="2"/>
        <scheme val="minor"/>
      </rPr>
      <t>Edwin</t>
    </r>
  </si>
  <si>
    <r>
      <rPr>
        <b/>
        <sz val="11"/>
        <color theme="2" tint="-0.499984740745262"/>
        <rFont val="Aptos Narrow"/>
        <family val="2"/>
        <scheme val="minor"/>
      </rPr>
      <t>Rony,</t>
    </r>
    <r>
      <rPr>
        <b/>
        <sz val="11"/>
        <color theme="1"/>
        <rFont val="Aptos Narrow"/>
        <family val="2"/>
        <scheme val="minor"/>
      </rPr>
      <t xml:space="preserve"> Edwin</t>
    </r>
  </si>
  <si>
    <t>Natanael</t>
  </si>
  <si>
    <t>Rony</t>
  </si>
  <si>
    <t>NATANAEL</t>
  </si>
  <si>
    <t>OTRO</t>
  </si>
  <si>
    <t>natanael</t>
  </si>
  <si>
    <t>RONY</t>
  </si>
  <si>
    <t>CELEO</t>
  </si>
  <si>
    <t>NORLAN</t>
  </si>
  <si>
    <t>GLENIS</t>
  </si>
  <si>
    <r>
      <rPr>
        <b/>
        <sz val="11"/>
        <color theme="2" tint="-0.499984740745262"/>
        <rFont val="Aptos Narrow"/>
        <family val="2"/>
        <scheme val="minor"/>
      </rPr>
      <t>Natanael</t>
    </r>
    <r>
      <rPr>
        <b/>
        <sz val="11"/>
        <color theme="1"/>
        <rFont val="Aptos Narrow"/>
        <family val="2"/>
        <scheme val="minor"/>
      </rPr>
      <t>, Celeo</t>
    </r>
  </si>
  <si>
    <r>
      <rPr>
        <b/>
        <sz val="11"/>
        <color theme="2" tint="-0.499984740745262"/>
        <rFont val="Aptos Narrow"/>
        <family val="2"/>
        <scheme val="minor"/>
      </rPr>
      <t>Rony</t>
    </r>
    <r>
      <rPr>
        <b/>
        <sz val="11"/>
        <color theme="1"/>
        <rFont val="Aptos Narrow"/>
        <family val="2"/>
        <scheme val="minor"/>
      </rPr>
      <t>, Edwin</t>
    </r>
  </si>
  <si>
    <t>CONTINUAL EN EL MISMO TURNO HASTA EL PROXIMO DIA DE DESCANSO DEL QUE ESTA EN TURNO B PARA  HACER EL CAMBIO DESPUES DEL DESCANSO</t>
  </si>
  <si>
    <t>Celeo</t>
  </si>
  <si>
    <t>el dia de descanso no cambio</t>
  </si>
  <si>
    <t>arrastran el descanso al turno que van</t>
  </si>
  <si>
    <r>
      <rPr>
        <b/>
        <sz val="11"/>
        <color theme="2" tint="-0.499984740745262"/>
        <rFont val="Aptos Narrow"/>
        <family val="2"/>
        <scheme val="minor"/>
      </rPr>
      <t>Rony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2" tint="-0.499984740745262"/>
        <rFont val="Aptos Narrow"/>
        <family val="2"/>
        <scheme val="minor"/>
      </rPr>
      <t>Edwin</t>
    </r>
    <r>
      <rPr>
        <b/>
        <sz val="11"/>
        <color theme="1"/>
        <rFont val="Aptos Narrow"/>
        <family val="2"/>
        <scheme val="minor"/>
      </rPr>
      <t>/Celeo</t>
    </r>
  </si>
  <si>
    <r>
      <rPr>
        <b/>
        <sz val="11"/>
        <color theme="2" tint="-0.499984740745262"/>
        <rFont val="Aptos Narrow"/>
        <family val="2"/>
        <scheme val="minor"/>
      </rPr>
      <t>Rony</t>
    </r>
    <r>
      <rPr>
        <b/>
        <sz val="11"/>
        <color theme="1"/>
        <rFont val="Aptos Narrow"/>
        <family val="2"/>
        <scheme val="minor"/>
      </rPr>
      <t>/Edwin</t>
    </r>
  </si>
  <si>
    <r>
      <rPr>
        <b/>
        <sz val="11"/>
        <color theme="2" tint="-0.499984740745262"/>
        <rFont val="Aptos Narrow"/>
        <family val="2"/>
        <scheme val="minor"/>
      </rPr>
      <t xml:space="preserve">Rony, </t>
    </r>
    <r>
      <rPr>
        <b/>
        <sz val="11"/>
        <color theme="1"/>
        <rFont val="Aptos Narrow (Cuerpo)"/>
      </rPr>
      <t>Edwin</t>
    </r>
  </si>
  <si>
    <r>
      <t xml:space="preserve">Edwin, </t>
    </r>
    <r>
      <rPr>
        <b/>
        <sz val="11"/>
        <color theme="1"/>
        <rFont val="Aptos Narrow (Cuerpo)"/>
      </rPr>
      <t>Celeo</t>
    </r>
  </si>
  <si>
    <t>Sábado 6/6</t>
  </si>
  <si>
    <t>Domingo 7/6</t>
  </si>
  <si>
    <t>Lunes 8/6</t>
  </si>
  <si>
    <t>Martes 9/6</t>
  </si>
  <si>
    <t>Mier. 10/6</t>
  </si>
  <si>
    <t>Jueves 11/6</t>
  </si>
  <si>
    <t>Viernes 12/6</t>
  </si>
  <si>
    <t>Sábado 13/6</t>
  </si>
  <si>
    <t>Domingo 14/6</t>
  </si>
  <si>
    <t>Lunes 15/6</t>
  </si>
  <si>
    <t>Martes 16/6</t>
  </si>
  <si>
    <t>Mier. 17/6</t>
  </si>
  <si>
    <t>Jueves 18/6</t>
  </si>
  <si>
    <t>Viernes 19/6</t>
  </si>
  <si>
    <t>Sábado 20/6</t>
  </si>
  <si>
    <t>Domingo 21/6</t>
  </si>
  <si>
    <t>Lunes 22/6</t>
  </si>
  <si>
    <t>Martes 23/6</t>
  </si>
  <si>
    <t>Mier. 24/6</t>
  </si>
  <si>
    <t>Jueves 25/6</t>
  </si>
  <si>
    <t>Viernes 26/6</t>
  </si>
  <si>
    <t>Sábado 27/6</t>
  </si>
  <si>
    <t>Domingo 28/6</t>
  </si>
  <si>
    <t>Lunes 29/6</t>
  </si>
  <si>
    <t>Martes 30/6</t>
  </si>
  <si>
    <t>Mier. 1/7</t>
  </si>
  <si>
    <t>Jueves 2/7</t>
  </si>
  <si>
    <t>Viernes 3/7</t>
  </si>
  <si>
    <t>Sábado 4/7</t>
  </si>
  <si>
    <t>Domingo 5/7</t>
  </si>
  <si>
    <t>E/S TRUCK STOP</t>
  </si>
  <si>
    <t>Roy</t>
  </si>
  <si>
    <t>Saudy</t>
  </si>
  <si>
    <t>Candido</t>
  </si>
  <si>
    <t>Jeferson</t>
  </si>
  <si>
    <t>Evin</t>
  </si>
  <si>
    <t>Hector</t>
  </si>
  <si>
    <t>Celio</t>
  </si>
  <si>
    <t>Milton</t>
  </si>
  <si>
    <t>SEGUNDA QUINCENA TRUCK</t>
  </si>
  <si>
    <t>feriados octubre</t>
  </si>
  <si>
    <t>oct</t>
  </si>
  <si>
    <t>nov</t>
  </si>
  <si>
    <t>x</t>
  </si>
  <si>
    <t>Cuadro de Turnos mes de Junio  2026</t>
  </si>
  <si>
    <t>TRUCK STOP</t>
  </si>
  <si>
    <t>Norlan</t>
  </si>
  <si>
    <t>Derlin</t>
  </si>
  <si>
    <t>A RONY PROGRAMARLE DOS DIAS QUE SE LE DEBEN SEGUIDO DE VACACIONES Y QUE LOS CUBRA EDWIN</t>
  </si>
  <si>
    <t>02 FE</t>
  </si>
  <si>
    <t>06 fe</t>
  </si>
  <si>
    <t>derlin comodin de caja en vn</t>
  </si>
  <si>
    <t>edwin comodin de caja cacao</t>
  </si>
  <si>
    <t>octubre</t>
  </si>
  <si>
    <r>
      <rPr>
        <b/>
        <sz val="11"/>
        <color theme="2" tint="-0.499984740745262"/>
        <rFont val="Aptos Narrow"/>
        <family val="2"/>
        <scheme val="minor"/>
      </rPr>
      <t>Norlan</t>
    </r>
    <r>
      <rPr>
        <b/>
        <sz val="11"/>
        <rFont val="Aptos Narrow"/>
        <family val="2"/>
        <scheme val="minor"/>
      </rPr>
      <t>/Celio</t>
    </r>
  </si>
  <si>
    <t xml:space="preserve">Celio </t>
  </si>
  <si>
    <t xml:space="preserve">Joel </t>
  </si>
  <si>
    <r>
      <rPr>
        <b/>
        <sz val="11"/>
        <color theme="1"/>
        <rFont val="Aptos Narrow (Cuerpo)"/>
      </rPr>
      <t>Rony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2" tint="-9.9978637043366805E-2"/>
        <rFont val="Aptos Narrow (Cuerpo)"/>
      </rPr>
      <t>Edwin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2" tint="-9.9978637043366805E-2"/>
        <rFont val="Aptos Narrow (Cuerpo)"/>
      </rPr>
      <t>Celeo</t>
    </r>
  </si>
  <si>
    <r>
      <rPr>
        <b/>
        <sz val="11"/>
        <color theme="2" tint="-9.9978637043366805E-2"/>
        <rFont val="Aptos Narrow (Cuerpo)"/>
      </rPr>
      <t>Rony</t>
    </r>
    <r>
      <rPr>
        <b/>
        <sz val="11"/>
        <color theme="2" tint="-0.249977111117893"/>
        <rFont val="Aptos Narrow (Cuerpo)"/>
      </rPr>
      <t>/Edwin</t>
    </r>
  </si>
  <si>
    <t>Cambio de turno ya realizado solo cambiar el dia de feriado a partir de la proxima semana.</t>
  </si>
  <si>
    <t>Lunes 30/03</t>
  </si>
  <si>
    <t>Martes 31/03</t>
  </si>
  <si>
    <t>Celio (Jefe de Pista)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</si>
</sst>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 (Cuerpo)"/>
    </font>
    <font>
      <b/>
      <sz val="12"/>
      <color theme="1"/>
      <name val="Aptos Narrow"/>
      <scheme val="minor"/>
    </font>
    <font>
      <b/>
      <sz val="9"/>
      <color rgb="FF000000"/>
      <name val="Tahoma"/>
      <family val="2"/>
    </font>
    <font>
      <b/>
      <sz val="11"/>
      <color theme="2" tint="-9.9978637043366805E-2"/>
      <name val="Aptos Narrow (Cuerpo)"/>
    </font>
    <font>
      <b/>
      <sz val="11"/>
      <color theme="2" tint="-0.249977111117893"/>
      <name val="Aptos Narrow (Cuerpo)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5" fillId="0" borderId="3" xfId="0" applyFont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16" fontId="5" fillId="0" borderId="0" xfId="0" applyNumberFormat="1" applyFont="1" applyAlignment="1">
      <alignment horizontal="center"/>
    </xf>
    <xf numFmtId="16" fontId="5" fillId="3" borderId="0" xfId="0" applyNumberFormat="1" applyFont="1" applyFill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4" borderId="3" xfId="0" applyFont="1" applyFill="1" applyBorder="1"/>
    <xf numFmtId="0" fontId="5" fillId="2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3" borderId="3" xfId="0" applyFont="1" applyFill="1" applyBorder="1"/>
    <xf numFmtId="0" fontId="5" fillId="2" borderId="7" xfId="0" applyFont="1" applyFill="1" applyBorder="1" applyAlignment="1">
      <alignment wrapText="1"/>
    </xf>
    <xf numFmtId="16" fontId="5" fillId="3" borderId="0" xfId="0" applyNumberFormat="1" applyFont="1" applyFill="1" applyAlignment="1">
      <alignment horizontal="center"/>
    </xf>
    <xf numFmtId="0" fontId="5" fillId="5" borderId="3" xfId="0" applyFont="1" applyFill="1" applyBorder="1"/>
    <xf numFmtId="0" fontId="0" fillId="7" borderId="0" xfId="0" applyFill="1"/>
    <xf numFmtId="0" fontId="5" fillId="2" borderId="3" xfId="0" applyFont="1" applyFill="1" applyBorder="1"/>
    <xf numFmtId="0" fontId="5" fillId="8" borderId="3" xfId="0" applyFont="1" applyFill="1" applyBorder="1"/>
    <xf numFmtId="0" fontId="5" fillId="2" borderId="4" xfId="0" applyFont="1" applyFill="1" applyBorder="1"/>
    <xf numFmtId="0" fontId="5" fillId="8" borderId="3" xfId="0" applyFont="1" applyFill="1" applyBorder="1" applyAlignment="1">
      <alignment wrapText="1"/>
    </xf>
    <xf numFmtId="0" fontId="5" fillId="4" borderId="4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43" fontId="0" fillId="0" borderId="0" xfId="1" applyFont="1"/>
    <xf numFmtId="43" fontId="5" fillId="0" borderId="0" xfId="1" applyFont="1" applyAlignment="1">
      <alignment horizontal="center" wrapText="1"/>
    </xf>
    <xf numFmtId="43" fontId="5" fillId="0" borderId="0" xfId="1" applyFont="1" applyAlignment="1">
      <alignment wrapText="1"/>
    </xf>
    <xf numFmtId="0" fontId="0" fillId="9" borderId="0" xfId="0" applyFill="1"/>
    <xf numFmtId="0" fontId="0" fillId="9" borderId="0" xfId="0" applyFill="1" applyAlignment="1">
      <alignment horizontal="center"/>
    </xf>
    <xf numFmtId="43" fontId="0" fillId="9" borderId="0" xfId="0" applyNumberFormat="1" applyFill="1" applyAlignment="1">
      <alignment horizontal="center"/>
    </xf>
    <xf numFmtId="43" fontId="0" fillId="0" borderId="0" xfId="0" applyNumberFormat="1" applyAlignment="1">
      <alignment horizontal="center"/>
    </xf>
    <xf numFmtId="16" fontId="0" fillId="0" borderId="0" xfId="0" applyNumberFormat="1"/>
    <xf numFmtId="0" fontId="10" fillId="0" borderId="3" xfId="0" applyFont="1" applyBorder="1"/>
    <xf numFmtId="16" fontId="5" fillId="0" borderId="0" xfId="0" applyNumberFormat="1" applyFont="1"/>
    <xf numFmtId="0" fontId="11" fillId="0" borderId="3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2" borderId="3" xfId="0" applyFont="1" applyFill="1" applyBorder="1"/>
    <xf numFmtId="0" fontId="10" fillId="2" borderId="7" xfId="0" applyFont="1" applyFill="1" applyBorder="1" applyAlignment="1">
      <alignment wrapText="1"/>
    </xf>
    <xf numFmtId="0" fontId="12" fillId="0" borderId="0" xfId="0" applyFont="1"/>
    <xf numFmtId="0" fontId="11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14" fillId="0" borderId="3" xfId="0" applyFont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15" fillId="0" borderId="3" xfId="0" applyFont="1" applyBorder="1" applyAlignment="1">
      <alignment wrapText="1"/>
    </xf>
    <xf numFmtId="0" fontId="5" fillId="6" borderId="3" xfId="0" applyFont="1" applyFill="1" applyBorder="1"/>
    <xf numFmtId="0" fontId="5" fillId="8" borderId="7" xfId="0" applyFont="1" applyFill="1" applyBorder="1" applyAlignment="1">
      <alignment wrapText="1"/>
    </xf>
    <xf numFmtId="0" fontId="0" fillId="8" borderId="0" xfId="0" applyFill="1"/>
    <xf numFmtId="0" fontId="0" fillId="8" borderId="3" xfId="0" applyFill="1" applyBorder="1"/>
    <xf numFmtId="0" fontId="5" fillId="6" borderId="3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8" xfId="0" applyFont="1" applyFill="1" applyBorder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 vertical="center" textRotation="90"/>
    </xf>
    <xf numFmtId="0" fontId="16" fillId="0" borderId="2" xfId="0" applyFont="1" applyBorder="1" applyAlignment="1">
      <alignment horizontal="center" vertical="center" textRotation="90"/>
    </xf>
    <xf numFmtId="0" fontId="0" fillId="0" borderId="3" xfId="0" applyBorder="1"/>
    <xf numFmtId="0" fontId="0" fillId="10" borderId="0" xfId="0" applyFill="1"/>
    <xf numFmtId="0" fontId="12" fillId="10" borderId="0" xfId="0" applyFont="1" applyFill="1"/>
    <xf numFmtId="0" fontId="0" fillId="0" borderId="0" xfId="0" applyAlignment="1">
      <alignment horizontal="left"/>
    </xf>
    <xf numFmtId="0" fontId="0" fillId="4" borderId="3" xfId="0" applyFill="1" applyBorder="1"/>
    <xf numFmtId="0" fontId="0" fillId="3" borderId="3" xfId="0" applyFill="1" applyBorder="1"/>
    <xf numFmtId="0" fontId="0" fillId="5" borderId="3" xfId="0" applyFill="1" applyBorder="1"/>
    <xf numFmtId="0" fontId="0" fillId="5" borderId="0" xfId="0" applyFill="1" applyAlignment="1">
      <alignment wrapText="1"/>
    </xf>
    <xf numFmtId="0" fontId="5" fillId="12" borderId="3" xfId="0" applyFont="1" applyFill="1" applyBorder="1"/>
    <xf numFmtId="0" fontId="5" fillId="12" borderId="3" xfId="0" applyFont="1" applyFill="1" applyBorder="1" applyAlignment="1">
      <alignment wrapText="1"/>
    </xf>
    <xf numFmtId="0" fontId="16" fillId="0" borderId="0" xfId="0" applyFont="1" applyAlignment="1">
      <alignment vertical="center" textRotation="90"/>
    </xf>
    <xf numFmtId="0" fontId="0" fillId="0" borderId="9" xfId="0" applyBorder="1"/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3" borderId="4" xfId="0" applyFill="1" applyBorder="1"/>
    <xf numFmtId="0" fontId="10" fillId="0" borderId="0" xfId="0" applyFont="1" applyAlignment="1">
      <alignment horizontal="center" vertical="center"/>
    </xf>
    <xf numFmtId="0" fontId="18" fillId="5" borderId="3" xfId="0" applyFont="1" applyFill="1" applyBorder="1"/>
    <xf numFmtId="0" fontId="5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43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43" fontId="13" fillId="9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4" fillId="0" borderId="7" xfId="0" applyFont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0" fontId="11" fillId="11" borderId="3" xfId="0" applyFont="1" applyFill="1" applyBorder="1" applyAlignment="1">
      <alignment wrapText="1"/>
    </xf>
    <xf numFmtId="0" fontId="11" fillId="12" borderId="3" xfId="0" applyFont="1" applyFill="1" applyBorder="1"/>
    <xf numFmtId="0" fontId="11" fillId="12" borderId="3" xfId="0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16" fontId="12" fillId="0" borderId="0" xfId="0" applyNumberFormat="1" applyFont="1"/>
    <xf numFmtId="0" fontId="0" fillId="6" borderId="0" xfId="0" applyFill="1" applyAlignment="1">
      <alignment wrapText="1"/>
    </xf>
    <xf numFmtId="0" fontId="11" fillId="6" borderId="0" xfId="0" applyFont="1" applyFill="1" applyAlignment="1">
      <alignment wrapText="1"/>
    </xf>
    <xf numFmtId="0" fontId="0" fillId="6" borderId="3" xfId="0" applyFill="1" applyBorder="1"/>
    <xf numFmtId="0" fontId="0" fillId="6" borderId="0" xfId="0" applyFill="1"/>
    <xf numFmtId="0" fontId="5" fillId="6" borderId="0" xfId="0" applyFont="1" applyFill="1" applyAlignment="1">
      <alignment wrapText="1"/>
    </xf>
    <xf numFmtId="0" fontId="7" fillId="6" borderId="0" xfId="0" applyFont="1" applyFill="1"/>
    <xf numFmtId="0" fontId="5" fillId="2" borderId="2" xfId="0" applyFont="1" applyFill="1" applyBorder="1" applyAlignment="1">
      <alignment horizontal="center" vertical="center" textRotation="90"/>
    </xf>
    <xf numFmtId="0" fontId="14" fillId="6" borderId="3" xfId="0" applyFont="1" applyFill="1" applyBorder="1"/>
    <xf numFmtId="0" fontId="15" fillId="6" borderId="3" xfId="0" applyFont="1" applyFill="1" applyBorder="1" applyAlignment="1">
      <alignment wrapText="1"/>
    </xf>
    <xf numFmtId="0" fontId="17" fillId="0" borderId="3" xfId="0" applyFont="1" applyBorder="1" applyAlignment="1">
      <alignment wrapText="1"/>
    </xf>
    <xf numFmtId="0" fontId="5" fillId="13" borderId="3" xfId="0" applyFont="1" applyFill="1" applyBorder="1"/>
    <xf numFmtId="0" fontId="6" fillId="6" borderId="3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8" borderId="8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43" fontId="0" fillId="0" borderId="0" xfId="1" applyFont="1" applyAlignment="1"/>
    <xf numFmtId="0" fontId="10" fillId="2" borderId="3" xfId="0" applyFont="1" applyFill="1" applyBorder="1"/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textRotation="90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2" xfId="0" applyFont="1" applyFill="1" applyBorder="1" applyAlignment="1">
      <alignment horizontal="center" textRotation="90"/>
    </xf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textRotation="90"/>
    </xf>
    <xf numFmtId="0" fontId="16" fillId="0" borderId="2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561-270D-4F43-A944-CA5946CCB3AA}">
  <sheetPr>
    <tabColor theme="9" tint="-0.249977111117893"/>
  </sheetPr>
  <dimension ref="A2:S136"/>
  <sheetViews>
    <sheetView showGridLines="0" topLeftCell="A32" zoomScaleNormal="100" workbookViewId="0">
      <selection activeCell="D82" sqref="D82"/>
    </sheetView>
  </sheetViews>
  <sheetFormatPr baseColWidth="10" defaultColWidth="9.125" defaultRowHeight="15.75" outlineLevelCol="1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9.625" customWidth="1"/>
    <col min="18" max="18" width="7.375" bestFit="1" customWidth="1"/>
    <col min="19" max="19" width="8.125" bestFit="1" customWidth="1"/>
    <col min="21" max="24" width="6.5" customWidth="1"/>
  </cols>
  <sheetData>
    <row r="2" spans="1:19" ht="21" customHeight="1">
      <c r="B2" s="141" t="s">
        <v>0</v>
      </c>
      <c r="C2" s="141"/>
      <c r="D2" s="141"/>
      <c r="E2" s="141"/>
      <c r="F2" s="141"/>
      <c r="G2" s="141"/>
      <c r="H2" s="141"/>
      <c r="I2" s="141"/>
      <c r="K2" s="1"/>
    </row>
    <row r="3" spans="1:19" ht="18.75" customHeight="1">
      <c r="B3" s="142" t="s">
        <v>38</v>
      </c>
      <c r="C3" s="142"/>
      <c r="D3" s="142"/>
      <c r="E3" s="142"/>
      <c r="F3" s="142"/>
      <c r="G3" s="142"/>
      <c r="H3" s="142"/>
      <c r="I3" s="142"/>
      <c r="K3" s="1"/>
    </row>
    <row r="4" spans="1:19">
      <c r="O4" s="2"/>
    </row>
    <row r="5" spans="1:19" ht="18.75">
      <c r="B5" s="3" t="s">
        <v>1</v>
      </c>
      <c r="N5" t="s">
        <v>39</v>
      </c>
    </row>
    <row r="6" spans="1:19">
      <c r="L6" s="4"/>
      <c r="N6" s="55" t="s">
        <v>40</v>
      </c>
      <c r="O6" s="55" t="s">
        <v>41</v>
      </c>
      <c r="P6" s="4" t="s">
        <v>42</v>
      </c>
      <c r="Q6" s="4" t="s">
        <v>43</v>
      </c>
      <c r="R6" s="44">
        <v>46143</v>
      </c>
      <c r="S6" t="s">
        <v>45</v>
      </c>
    </row>
    <row r="7" spans="1:19">
      <c r="A7" s="127" t="s">
        <v>2</v>
      </c>
      <c r="B7" s="6" t="s">
        <v>3</v>
      </c>
      <c r="C7" s="6" t="s">
        <v>49</v>
      </c>
      <c r="D7" s="6" t="s">
        <v>48</v>
      </c>
      <c r="E7" s="6" t="s">
        <v>47</v>
      </c>
      <c r="F7" s="6" t="s">
        <v>50</v>
      </c>
      <c r="G7" s="6" t="s">
        <v>51</v>
      </c>
      <c r="H7" s="6" t="s">
        <v>82</v>
      </c>
      <c r="I7" s="6" t="s">
        <v>83</v>
      </c>
      <c r="L7" s="4"/>
      <c r="M7" s="7" t="s">
        <v>4</v>
      </c>
      <c r="N7" s="8"/>
      <c r="O7" s="8"/>
      <c r="P7" s="4"/>
      <c r="Q7" s="4"/>
      <c r="S7">
        <v>0</v>
      </c>
    </row>
    <row r="8" spans="1:19">
      <c r="A8" s="127"/>
      <c r="B8" s="147" t="s">
        <v>5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58" t="s">
        <v>6</v>
      </c>
      <c r="K8" s="11"/>
      <c r="L8" s="11"/>
      <c r="M8" t="s">
        <v>7</v>
      </c>
      <c r="N8" s="12">
        <v>46101</v>
      </c>
      <c r="O8" s="12" t="s">
        <v>46</v>
      </c>
      <c r="P8" s="12" t="s">
        <v>46</v>
      </c>
      <c r="Q8" s="12" t="s">
        <v>46</v>
      </c>
      <c r="R8" s="12" t="s">
        <v>46</v>
      </c>
      <c r="S8">
        <v>0</v>
      </c>
    </row>
    <row r="9" spans="1:19">
      <c r="A9" s="127"/>
      <c r="B9" s="148"/>
      <c r="C9" s="58" t="s">
        <v>7</v>
      </c>
      <c r="D9" s="9" t="s">
        <v>10</v>
      </c>
      <c r="E9" s="58" t="s">
        <v>7</v>
      </c>
      <c r="F9" s="58" t="s">
        <v>7</v>
      </c>
      <c r="G9" s="58" t="s">
        <v>7</v>
      </c>
      <c r="H9" s="58" t="s">
        <v>9</v>
      </c>
      <c r="I9" s="9" t="s">
        <v>9</v>
      </c>
      <c r="K9" s="11"/>
      <c r="L9" s="11"/>
      <c r="M9" s="7" t="s">
        <v>10</v>
      </c>
      <c r="N9" s="13">
        <v>46095</v>
      </c>
      <c r="O9" s="13">
        <v>46122</v>
      </c>
      <c r="P9" s="44">
        <v>46143</v>
      </c>
      <c r="Q9" s="44">
        <v>46151</v>
      </c>
      <c r="R9" s="42">
        <v>46193</v>
      </c>
      <c r="S9">
        <v>0</v>
      </c>
    </row>
    <row r="10" spans="1:19">
      <c r="A10" s="127"/>
      <c r="B10" s="148"/>
      <c r="C10" s="9" t="s">
        <v>9</v>
      </c>
      <c r="D10" s="9" t="s">
        <v>9</v>
      </c>
      <c r="E10" s="58" t="s">
        <v>9</v>
      </c>
      <c r="F10" s="56" t="s">
        <v>9</v>
      </c>
      <c r="G10" s="56" t="s">
        <v>9</v>
      </c>
      <c r="H10" s="9" t="s">
        <v>8</v>
      </c>
      <c r="I10" s="9" t="s">
        <v>8</v>
      </c>
      <c r="K10" s="11"/>
      <c r="L10" s="11"/>
      <c r="M10" t="s">
        <v>9</v>
      </c>
      <c r="N10" s="14">
        <v>46094</v>
      </c>
      <c r="O10" s="14">
        <v>46123</v>
      </c>
      <c r="P10" s="44">
        <v>46137</v>
      </c>
      <c r="Q10" s="44">
        <v>46171</v>
      </c>
      <c r="R10" s="42">
        <v>46179</v>
      </c>
      <c r="S10">
        <v>0</v>
      </c>
    </row>
    <row r="11" spans="1:19">
      <c r="A11" s="127"/>
      <c r="B11" s="148"/>
      <c r="C11" s="58" t="s">
        <v>11</v>
      </c>
      <c r="D11" s="58" t="s">
        <v>11</v>
      </c>
      <c r="E11" s="9" t="s">
        <v>11</v>
      </c>
      <c r="F11" s="9" t="s">
        <v>8</v>
      </c>
      <c r="G11" s="9" t="s">
        <v>8</v>
      </c>
      <c r="H11" s="9"/>
      <c r="I11" s="9"/>
      <c r="K11" s="11"/>
      <c r="L11" s="11"/>
      <c r="M11" s="7" t="s">
        <v>11</v>
      </c>
      <c r="N11" s="13">
        <v>46102</v>
      </c>
      <c r="O11" s="13">
        <v>46136</v>
      </c>
      <c r="P11" s="44">
        <v>46150</v>
      </c>
      <c r="Q11" s="44">
        <v>46164</v>
      </c>
      <c r="R11" s="42">
        <v>46165</v>
      </c>
      <c r="S11">
        <v>0</v>
      </c>
    </row>
    <row r="12" spans="1:19">
      <c r="A12" s="127"/>
      <c r="B12" s="149"/>
      <c r="C12" s="9" t="s">
        <v>16</v>
      </c>
      <c r="D12" s="58" t="s">
        <v>14</v>
      </c>
      <c r="E12" s="58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K12" s="11"/>
      <c r="L12" s="11"/>
      <c r="M12" t="s">
        <v>8</v>
      </c>
      <c r="N12" s="14">
        <v>46108</v>
      </c>
      <c r="O12" s="14">
        <v>46129</v>
      </c>
      <c r="P12" s="44">
        <v>46115</v>
      </c>
      <c r="Q12" s="44">
        <v>46158</v>
      </c>
      <c r="R12" s="42">
        <v>46186</v>
      </c>
      <c r="S12">
        <v>0</v>
      </c>
    </row>
    <row r="13" spans="1:19">
      <c r="A13" s="127"/>
      <c r="B13" s="16"/>
      <c r="C13" s="9"/>
      <c r="D13" s="58"/>
      <c r="E13" s="9" t="s">
        <v>10</v>
      </c>
      <c r="F13" s="9"/>
      <c r="G13" s="17"/>
      <c r="H13" s="9"/>
      <c r="I13" s="9"/>
      <c r="K13" s="11"/>
      <c r="L13" s="11"/>
      <c r="N13" s="14"/>
      <c r="O13" s="14"/>
      <c r="P13" s="44"/>
      <c r="Q13" s="44"/>
      <c r="R13" s="42"/>
    </row>
    <row r="14" spans="1:19">
      <c r="A14" s="127"/>
      <c r="B14" s="18" t="s">
        <v>12</v>
      </c>
      <c r="C14" s="30"/>
      <c r="D14" s="30"/>
      <c r="E14" s="18" t="s">
        <v>14</v>
      </c>
      <c r="F14" s="30"/>
      <c r="G14" s="20" t="s">
        <v>9</v>
      </c>
      <c r="H14" s="65" t="s">
        <v>9</v>
      </c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  <c r="R14" s="42">
        <v>46172</v>
      </c>
      <c r="S14">
        <v>0</v>
      </c>
    </row>
    <row r="15" spans="1:19">
      <c r="A15" s="127"/>
      <c r="B15" s="18"/>
      <c r="C15" s="30"/>
      <c r="D15" s="30"/>
      <c r="E15" s="30"/>
      <c r="F15" s="30"/>
      <c r="G15" s="30"/>
      <c r="H15" s="30"/>
      <c r="I15" s="30"/>
      <c r="M15" s="7"/>
      <c r="N15" s="13"/>
      <c r="O15" s="13"/>
      <c r="P15" s="4"/>
      <c r="Q15" s="4"/>
    </row>
    <row r="16" spans="1:19">
      <c r="A16" s="127"/>
      <c r="B16" s="18"/>
      <c r="C16" s="60"/>
      <c r="D16" s="60"/>
      <c r="E16" s="60"/>
      <c r="F16" s="30"/>
      <c r="G16" s="62"/>
      <c r="H16" s="61"/>
      <c r="I16" s="30"/>
      <c r="M16" t="s">
        <v>14</v>
      </c>
      <c r="N16" s="12">
        <v>46109</v>
      </c>
      <c r="O16" s="12">
        <v>46110</v>
      </c>
      <c r="P16" s="44">
        <v>46116</v>
      </c>
      <c r="Q16" s="42">
        <v>46157</v>
      </c>
      <c r="R16" s="42">
        <v>46174</v>
      </c>
      <c r="S16">
        <v>0</v>
      </c>
    </row>
    <row r="17" spans="1:19">
      <c r="A17" s="127"/>
      <c r="B17" s="22" t="s">
        <v>15</v>
      </c>
      <c r="C17" s="60"/>
      <c r="D17" s="60"/>
      <c r="E17" s="60"/>
      <c r="F17" s="60"/>
      <c r="G17" s="28"/>
      <c r="H17" s="28"/>
      <c r="I17" s="30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  <c r="R17" s="42">
        <v>46137</v>
      </c>
      <c r="S17">
        <v>0</v>
      </c>
    </row>
    <row r="18" spans="1:19">
      <c r="A18" s="127"/>
      <c r="B18" s="22"/>
      <c r="C18" s="30"/>
      <c r="D18" s="30"/>
      <c r="E18" s="30"/>
      <c r="F18" s="30"/>
      <c r="G18" s="28"/>
      <c r="H18" s="60"/>
      <c r="I18" s="57"/>
      <c r="M18" s="7"/>
      <c r="N18" s="24"/>
      <c r="O18" s="24"/>
      <c r="P18" s="4"/>
      <c r="Q18" s="4"/>
    </row>
    <row r="19" spans="1:19">
      <c r="A19" s="127"/>
      <c r="B19" s="25" t="s">
        <v>17</v>
      </c>
      <c r="C19" s="9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19">
      <c r="A20" s="127"/>
      <c r="B20" s="147" t="s">
        <v>18</v>
      </c>
      <c r="C20" s="58" t="s">
        <v>16</v>
      </c>
      <c r="D20" s="56" t="s">
        <v>16</v>
      </c>
      <c r="E20" s="9" t="s">
        <v>16</v>
      </c>
      <c r="F20" s="9" t="s">
        <v>16</v>
      </c>
      <c r="G20" s="9" t="s">
        <v>16</v>
      </c>
      <c r="H20" s="9" t="s">
        <v>16</v>
      </c>
      <c r="I20" s="63" t="s">
        <v>16</v>
      </c>
      <c r="L20" s="11"/>
    </row>
    <row r="21" spans="1:19">
      <c r="A21" s="127"/>
      <c r="B21" s="148"/>
      <c r="C21" s="9" t="s">
        <v>10</v>
      </c>
      <c r="D21" s="58" t="s">
        <v>10</v>
      </c>
      <c r="E21" s="58" t="s">
        <v>10</v>
      </c>
      <c r="F21" s="56" t="s">
        <v>10</v>
      </c>
      <c r="G21" s="9" t="s">
        <v>10</v>
      </c>
      <c r="H21" s="9" t="s">
        <v>10</v>
      </c>
      <c r="I21" s="9" t="s">
        <v>10</v>
      </c>
      <c r="L21" s="11"/>
    </row>
    <row r="22" spans="1:19">
      <c r="A22" s="127"/>
      <c r="B22" s="148"/>
      <c r="C22" s="9" t="s">
        <v>8</v>
      </c>
      <c r="D22" s="9" t="s">
        <v>8</v>
      </c>
      <c r="E22" s="9" t="s">
        <v>8</v>
      </c>
      <c r="F22" s="9" t="s">
        <v>11</v>
      </c>
      <c r="G22" s="9" t="s">
        <v>11</v>
      </c>
      <c r="H22" s="9" t="s">
        <v>11</v>
      </c>
      <c r="I22" s="58" t="s">
        <v>11</v>
      </c>
      <c r="K22" s="26"/>
      <c r="L22" s="11"/>
    </row>
    <row r="23" spans="1:19">
      <c r="A23" s="127"/>
      <c r="B23" s="148"/>
      <c r="C23" s="9" t="s">
        <v>11</v>
      </c>
      <c r="D23" s="59" t="s">
        <v>11</v>
      </c>
      <c r="E23" s="9" t="s">
        <v>9</v>
      </c>
      <c r="F23" s="9" t="s">
        <v>9</v>
      </c>
      <c r="G23" s="9"/>
      <c r="H23" s="64" t="s">
        <v>7</v>
      </c>
      <c r="I23" s="64" t="s">
        <v>7</v>
      </c>
      <c r="K23" s="26"/>
      <c r="L23" s="11"/>
    </row>
    <row r="24" spans="1:19">
      <c r="A24" s="127"/>
      <c r="B24" s="149"/>
      <c r="C24" s="113" t="s">
        <v>14</v>
      </c>
      <c r="D24" s="59" t="s">
        <v>14</v>
      </c>
      <c r="E24" s="63"/>
      <c r="F24" s="63"/>
      <c r="G24" s="63"/>
      <c r="H24" s="58" t="s">
        <v>14</v>
      </c>
      <c r="I24" s="58" t="s">
        <v>14</v>
      </c>
      <c r="K24" s="26"/>
      <c r="L24" s="11"/>
    </row>
    <row r="25" spans="1:19">
      <c r="A25" s="127"/>
      <c r="B25" s="150" t="s">
        <v>12</v>
      </c>
      <c r="C25" s="65" t="s">
        <v>14</v>
      </c>
      <c r="D25" s="20" t="s">
        <v>16</v>
      </c>
      <c r="E25" s="27"/>
      <c r="F25" s="18" t="s">
        <v>10</v>
      </c>
      <c r="G25" s="27"/>
      <c r="H25" s="29"/>
      <c r="I25" s="20" t="s">
        <v>11</v>
      </c>
      <c r="K25" s="26"/>
    </row>
    <row r="26" spans="1:19">
      <c r="A26" s="127"/>
      <c r="B26" s="151"/>
      <c r="C26" s="28"/>
      <c r="D26" s="27"/>
      <c r="E26" s="27"/>
      <c r="F26" s="27"/>
      <c r="G26" s="27"/>
      <c r="H26" s="29"/>
      <c r="I26" s="57"/>
      <c r="K26" s="26"/>
    </row>
    <row r="27" spans="1:19">
      <c r="A27" s="127"/>
      <c r="B27" s="152"/>
      <c r="C27" s="19"/>
      <c r="D27" s="30"/>
      <c r="E27" s="27"/>
      <c r="F27" s="27"/>
      <c r="G27" s="27"/>
      <c r="H27" s="27"/>
      <c r="I27" s="30"/>
      <c r="K27" s="26"/>
    </row>
    <row r="28" spans="1:19">
      <c r="A28" s="127"/>
      <c r="B28" s="22" t="s">
        <v>15</v>
      </c>
      <c r="C28" s="60"/>
      <c r="D28" s="60"/>
      <c r="E28" s="27"/>
      <c r="F28" s="30"/>
      <c r="G28" s="62"/>
      <c r="H28" s="61"/>
      <c r="I28" s="30"/>
      <c r="K28" s="26"/>
    </row>
    <row r="29" spans="1:19">
      <c r="A29" s="127"/>
      <c r="B29" s="22"/>
      <c r="C29" s="60"/>
      <c r="D29" s="60"/>
      <c r="E29" s="60"/>
      <c r="F29" s="60"/>
      <c r="G29" s="28"/>
      <c r="H29" s="28"/>
      <c r="I29" s="30"/>
      <c r="K29" s="26"/>
    </row>
    <row r="30" spans="1:19">
      <c r="A30" s="127"/>
      <c r="B30" s="25" t="s">
        <v>17</v>
      </c>
      <c r="C30" s="30"/>
      <c r="D30" s="30"/>
      <c r="E30" s="30"/>
      <c r="F30" s="30"/>
      <c r="G30" s="28"/>
      <c r="H30" s="60"/>
      <c r="I30" s="57"/>
      <c r="K30" s="26"/>
    </row>
    <row r="31" spans="1:19">
      <c r="B31" s="4"/>
      <c r="C31" s="15">
        <f t="shared" ref="C31:H31" si="0">COUNTA(C8:C12,C20:C24)</f>
        <v>10</v>
      </c>
      <c r="D31" s="15">
        <f t="shared" si="0"/>
        <v>10</v>
      </c>
      <c r="E31" s="15">
        <f t="shared" si="0"/>
        <v>9</v>
      </c>
      <c r="F31" s="15">
        <f t="shared" si="0"/>
        <v>9</v>
      </c>
      <c r="G31" s="15">
        <f t="shared" si="0"/>
        <v>8</v>
      </c>
      <c r="H31" s="15">
        <f t="shared" si="0"/>
        <v>9</v>
      </c>
      <c r="I31" s="15">
        <f>COUNTA(I8:I12,I20:I26)</f>
        <v>10</v>
      </c>
      <c r="K31" s="26"/>
    </row>
    <row r="32" spans="1:19">
      <c r="A32" s="127" t="s">
        <v>19</v>
      </c>
      <c r="B32" s="6" t="s">
        <v>3</v>
      </c>
      <c r="C32" s="6" t="s">
        <v>84</v>
      </c>
      <c r="D32" s="6" t="s">
        <v>85</v>
      </c>
      <c r="E32" s="6" t="s">
        <v>86</v>
      </c>
      <c r="F32" s="6" t="s">
        <v>87</v>
      </c>
      <c r="G32" s="6" t="s">
        <v>88</v>
      </c>
      <c r="H32" s="6" t="s">
        <v>89</v>
      </c>
      <c r="I32" s="6" t="s">
        <v>90</v>
      </c>
      <c r="K32" s="26"/>
    </row>
    <row r="33" spans="1:18">
      <c r="A33" s="127"/>
      <c r="B33" s="147" t="s">
        <v>5</v>
      </c>
      <c r="C33" s="58" t="s">
        <v>8</v>
      </c>
      <c r="D33" s="9" t="s">
        <v>8</v>
      </c>
      <c r="E33" s="9" t="s">
        <v>8</v>
      </c>
      <c r="F33" s="9" t="s">
        <v>8</v>
      </c>
      <c r="G33" s="9" t="s">
        <v>8</v>
      </c>
      <c r="H33" s="58" t="s">
        <v>8</v>
      </c>
      <c r="I33" s="56" t="s">
        <v>8</v>
      </c>
      <c r="K33" s="26"/>
    </row>
    <row r="34" spans="1:18">
      <c r="A34" s="127"/>
      <c r="B34" s="148"/>
      <c r="C34" s="9" t="s">
        <v>11</v>
      </c>
      <c r="D34" s="58" t="s">
        <v>16</v>
      </c>
      <c r="E34" s="9" t="s">
        <v>16</v>
      </c>
      <c r="F34" s="58" t="s">
        <v>16</v>
      </c>
      <c r="G34" s="17" t="s">
        <v>10</v>
      </c>
      <c r="H34" s="9" t="s">
        <v>10</v>
      </c>
      <c r="I34" s="9" t="s">
        <v>10</v>
      </c>
      <c r="K34" s="26"/>
    </row>
    <row r="35" spans="1:18">
      <c r="A35" s="127"/>
      <c r="B35" s="148"/>
      <c r="C35" s="9" t="s">
        <v>16</v>
      </c>
      <c r="D35" s="9" t="s">
        <v>10</v>
      </c>
      <c r="E35" s="58" t="s">
        <v>10</v>
      </c>
      <c r="F35" s="9" t="s">
        <v>10</v>
      </c>
      <c r="G35" s="17" t="s">
        <v>11</v>
      </c>
      <c r="H35" s="9" t="s">
        <v>11</v>
      </c>
      <c r="I35" s="58" t="s">
        <v>11</v>
      </c>
      <c r="K35" s="26"/>
    </row>
    <row r="36" spans="1:18">
      <c r="A36" s="127"/>
      <c r="B36" s="148"/>
      <c r="C36" s="9" t="s">
        <v>14</v>
      </c>
      <c r="D36" s="9" t="s">
        <v>11</v>
      </c>
      <c r="E36" s="9" t="s">
        <v>9</v>
      </c>
      <c r="F36" s="9" t="s">
        <v>11</v>
      </c>
      <c r="G36" s="64" t="s">
        <v>16</v>
      </c>
      <c r="H36" s="9" t="s">
        <v>14</v>
      </c>
      <c r="I36" s="9" t="s">
        <v>14</v>
      </c>
      <c r="K36" s="26"/>
    </row>
    <row r="37" spans="1:18">
      <c r="A37" s="127"/>
      <c r="B37" s="149"/>
      <c r="C37" s="9"/>
      <c r="D37" s="9"/>
      <c r="E37" s="9"/>
      <c r="F37" s="9"/>
      <c r="G37" s="9"/>
      <c r="H37" s="9"/>
      <c r="I37" s="9" t="s">
        <v>16</v>
      </c>
      <c r="K37" s="26"/>
    </row>
    <row r="38" spans="1:18">
      <c r="A38" s="127"/>
      <c r="B38" s="18" t="s">
        <v>12</v>
      </c>
      <c r="C38" s="20" t="s">
        <v>8</v>
      </c>
      <c r="D38" s="18" t="s">
        <v>16</v>
      </c>
      <c r="E38" s="19"/>
      <c r="F38" s="19"/>
      <c r="G38" s="21"/>
      <c r="H38" s="67" t="s">
        <v>8</v>
      </c>
      <c r="I38" s="20" t="s">
        <v>6</v>
      </c>
      <c r="K38" s="26"/>
    </row>
    <row r="39" spans="1:18">
      <c r="A39" s="127"/>
      <c r="B39" s="31"/>
      <c r="C39" s="60"/>
      <c r="D39" s="19"/>
      <c r="E39" s="19"/>
      <c r="F39" s="19"/>
      <c r="G39" s="19"/>
      <c r="H39" s="19"/>
      <c r="I39" s="20" t="s">
        <v>11</v>
      </c>
      <c r="K39" s="26"/>
    </row>
    <row r="40" spans="1:18">
      <c r="A40" s="127"/>
      <c r="B40" s="156" t="s">
        <v>15</v>
      </c>
      <c r="C40" s="60"/>
      <c r="D40" s="60"/>
      <c r="E40" s="60"/>
      <c r="F40" s="30"/>
      <c r="G40" s="62"/>
      <c r="H40" s="61"/>
      <c r="I40" s="30"/>
      <c r="K40" s="26"/>
    </row>
    <row r="41" spans="1:18">
      <c r="A41" s="127"/>
      <c r="B41" s="157"/>
      <c r="C41" s="60"/>
      <c r="D41" s="60"/>
      <c r="E41" s="60"/>
      <c r="F41" s="60"/>
      <c r="G41" s="28"/>
      <c r="H41" s="28"/>
      <c r="I41" s="30"/>
      <c r="K41" s="26"/>
    </row>
    <row r="42" spans="1:18">
      <c r="A42" s="127"/>
      <c r="B42" s="25" t="s">
        <v>17</v>
      </c>
      <c r="C42" s="30"/>
      <c r="D42" s="30"/>
      <c r="E42" s="30"/>
      <c r="F42" s="30"/>
      <c r="G42" s="28"/>
      <c r="H42" s="60"/>
      <c r="I42" s="57"/>
      <c r="K42" s="26"/>
    </row>
    <row r="43" spans="1:18">
      <c r="A43" s="127"/>
      <c r="B43" s="153" t="s">
        <v>18</v>
      </c>
      <c r="C43" s="56" t="s">
        <v>6</v>
      </c>
      <c r="D43" s="9" t="s">
        <v>6</v>
      </c>
      <c r="E43" s="9" t="s">
        <v>6</v>
      </c>
      <c r="F43" s="9" t="s">
        <v>6</v>
      </c>
      <c r="G43" s="9" t="s">
        <v>6</v>
      </c>
      <c r="H43" s="9" t="s">
        <v>6</v>
      </c>
      <c r="I43" s="58" t="s">
        <v>7</v>
      </c>
      <c r="K43" s="26"/>
    </row>
    <row r="44" spans="1:18">
      <c r="A44" s="127"/>
      <c r="B44" s="154"/>
      <c r="C44" s="58" t="s">
        <v>7</v>
      </c>
      <c r="D44" s="58" t="s">
        <v>7</v>
      </c>
      <c r="E44" s="58" t="s">
        <v>7</v>
      </c>
      <c r="F44" s="58" t="s">
        <v>7</v>
      </c>
      <c r="G44" s="58" t="s">
        <v>7</v>
      </c>
      <c r="H44" s="64" t="s">
        <v>7</v>
      </c>
      <c r="I44" s="9" t="s">
        <v>9</v>
      </c>
      <c r="K44" s="26"/>
    </row>
    <row r="45" spans="1:18">
      <c r="A45" s="127"/>
      <c r="B45" s="154"/>
      <c r="C45" s="9" t="s">
        <v>9</v>
      </c>
      <c r="D45" s="9" t="s">
        <v>9</v>
      </c>
      <c r="E45" s="9" t="s">
        <v>11</v>
      </c>
      <c r="F45" s="56" t="s">
        <v>9</v>
      </c>
      <c r="G45" s="58" t="s">
        <v>9</v>
      </c>
      <c r="H45" s="66" t="s">
        <v>9</v>
      </c>
      <c r="I45" s="58" t="s">
        <v>6</v>
      </c>
      <c r="K45" s="26"/>
    </row>
    <row r="46" spans="1:18">
      <c r="A46" s="127"/>
      <c r="B46" s="154"/>
      <c r="C46" s="9" t="s">
        <v>10</v>
      </c>
      <c r="D46" s="58" t="s">
        <v>14</v>
      </c>
      <c r="E46" s="58" t="s">
        <v>14</v>
      </c>
      <c r="F46" s="9" t="s">
        <v>14</v>
      </c>
      <c r="G46" s="9" t="s">
        <v>14</v>
      </c>
      <c r="H46" s="17" t="s">
        <v>16</v>
      </c>
      <c r="I46" s="58" t="s">
        <v>16</v>
      </c>
      <c r="K46" s="26"/>
    </row>
    <row r="47" spans="1:18">
      <c r="A47" s="127"/>
      <c r="B47" s="155"/>
      <c r="C47" s="9" t="s">
        <v>14</v>
      </c>
      <c r="D47" s="9" t="s">
        <v>10</v>
      </c>
      <c r="E47" s="9" t="s">
        <v>10</v>
      </c>
      <c r="F47" s="9" t="s">
        <v>16</v>
      </c>
      <c r="G47" s="9" t="s">
        <v>16</v>
      </c>
      <c r="H47" s="58" t="s">
        <v>14</v>
      </c>
      <c r="I47" s="9" t="s">
        <v>14</v>
      </c>
      <c r="K47" s="26"/>
    </row>
    <row r="48" spans="1:18">
      <c r="A48" s="127"/>
      <c r="B48" s="158" t="s">
        <v>12</v>
      </c>
      <c r="C48" s="19"/>
      <c r="D48" s="19"/>
      <c r="E48" s="18" t="s">
        <v>14</v>
      </c>
      <c r="F48" s="27"/>
      <c r="G48" s="20" t="s">
        <v>9</v>
      </c>
      <c r="H48" s="29"/>
      <c r="I48" s="30"/>
      <c r="K48" s="26"/>
    </row>
    <row r="49" spans="1:18">
      <c r="A49" s="127"/>
      <c r="B49" s="159"/>
      <c r="C49" s="19"/>
      <c r="D49" s="19"/>
      <c r="E49" s="27"/>
      <c r="F49" s="27"/>
      <c r="G49" s="27"/>
      <c r="H49" s="29"/>
      <c r="I49" s="30"/>
      <c r="K49" s="26"/>
    </row>
    <row r="50" spans="1:18">
      <c r="A50" s="127"/>
      <c r="B50" s="22" t="s">
        <v>15</v>
      </c>
      <c r="C50" s="60"/>
      <c r="D50" s="60"/>
      <c r="E50" s="60"/>
      <c r="F50" s="60"/>
      <c r="G50" s="28"/>
      <c r="H50" s="29"/>
      <c r="I50" s="30"/>
      <c r="K50" s="26"/>
    </row>
    <row r="51" spans="1:18">
      <c r="A51" s="127"/>
      <c r="B51" s="25" t="s">
        <v>17</v>
      </c>
      <c r="C51" s="30"/>
      <c r="D51" s="30"/>
      <c r="E51" s="30"/>
      <c r="F51" s="30"/>
      <c r="G51" s="28"/>
      <c r="H51" s="60"/>
      <c r="I51" s="57"/>
      <c r="K51" s="26"/>
    </row>
    <row r="52" spans="1:18">
      <c r="B52" s="4"/>
      <c r="C52" s="15">
        <f>COUNTA(C33:C37,C43:C47)</f>
        <v>9</v>
      </c>
      <c r="D52" s="15">
        <f t="shared" ref="D52:I52" si="1">COUNTA(D33:D37,D43:D47)</f>
        <v>9</v>
      </c>
      <c r="E52" s="15">
        <f t="shared" si="1"/>
        <v>9</v>
      </c>
      <c r="F52" s="15">
        <f t="shared" si="1"/>
        <v>9</v>
      </c>
      <c r="G52" s="15">
        <f>COUNTA(G33:G37,G43:G47)</f>
        <v>9</v>
      </c>
      <c r="H52" s="15">
        <f t="shared" si="1"/>
        <v>9</v>
      </c>
      <c r="I52" s="15">
        <f t="shared" si="1"/>
        <v>10</v>
      </c>
      <c r="K52" s="26"/>
    </row>
    <row r="53" spans="1:18">
      <c r="A53" s="127" t="s">
        <v>20</v>
      </c>
      <c r="B53" s="6" t="s">
        <v>3</v>
      </c>
      <c r="C53" s="6" t="s">
        <v>91</v>
      </c>
      <c r="D53" s="6" t="s">
        <v>92</v>
      </c>
      <c r="E53" s="6" t="s">
        <v>93</v>
      </c>
      <c r="F53" s="6" t="s">
        <v>94</v>
      </c>
      <c r="G53" s="6" t="s">
        <v>95</v>
      </c>
      <c r="H53" s="6" t="s">
        <v>96</v>
      </c>
      <c r="I53" s="6" t="s">
        <v>97</v>
      </c>
      <c r="K53" s="26"/>
    </row>
    <row r="54" spans="1:18">
      <c r="A54" s="127"/>
      <c r="B54" s="153" t="s">
        <v>5</v>
      </c>
      <c r="C54" s="58" t="s">
        <v>8</v>
      </c>
      <c r="D54" s="9" t="s">
        <v>8</v>
      </c>
      <c r="E54" s="9" t="s">
        <v>8</v>
      </c>
      <c r="F54" s="9" t="s">
        <v>8</v>
      </c>
      <c r="G54" s="9" t="s">
        <v>8</v>
      </c>
      <c r="H54" s="9" t="s">
        <v>8</v>
      </c>
      <c r="I54" s="9" t="s">
        <v>8</v>
      </c>
      <c r="K54" s="26"/>
    </row>
    <row r="55" spans="1:18">
      <c r="A55" s="127"/>
      <c r="B55" s="154"/>
      <c r="C55" s="9" t="s">
        <v>11</v>
      </c>
      <c r="D55" s="58" t="s">
        <v>16</v>
      </c>
      <c r="E55" s="9" t="s">
        <v>16</v>
      </c>
      <c r="F55" s="9" t="s">
        <v>16</v>
      </c>
      <c r="G55" s="64" t="s">
        <v>16</v>
      </c>
      <c r="H55" s="9" t="s">
        <v>10</v>
      </c>
      <c r="I55" s="9" t="s">
        <v>10</v>
      </c>
      <c r="K55" s="26"/>
    </row>
    <row r="56" spans="1:18">
      <c r="A56" s="127"/>
      <c r="B56" s="154"/>
      <c r="C56" s="9" t="s">
        <v>16</v>
      </c>
      <c r="D56" s="58" t="s">
        <v>10</v>
      </c>
      <c r="E56" s="58" t="s">
        <v>10</v>
      </c>
      <c r="F56" s="58" t="s">
        <v>10</v>
      </c>
      <c r="G56" s="9" t="s">
        <v>10</v>
      </c>
      <c r="H56" s="9" t="s">
        <v>11</v>
      </c>
      <c r="I56" s="58" t="s">
        <v>11</v>
      </c>
      <c r="K56" s="26"/>
    </row>
    <row r="57" spans="1:18">
      <c r="A57" s="127"/>
      <c r="B57" s="154"/>
      <c r="C57" s="9" t="s">
        <v>14</v>
      </c>
      <c r="D57" s="9" t="s">
        <v>11</v>
      </c>
      <c r="E57" s="9" t="s">
        <v>9</v>
      </c>
      <c r="F57" s="9" t="s">
        <v>11</v>
      </c>
      <c r="G57" s="17" t="s">
        <v>11</v>
      </c>
      <c r="H57" s="9"/>
      <c r="I57" s="9" t="s">
        <v>14</v>
      </c>
      <c r="J57" s="34"/>
      <c r="K57" s="26"/>
    </row>
    <row r="58" spans="1:18">
      <c r="A58" s="127"/>
      <c r="B58" s="155"/>
      <c r="C58" s="9"/>
      <c r="D58" s="9" t="s">
        <v>14</v>
      </c>
      <c r="E58" s="9"/>
      <c r="F58" s="9"/>
      <c r="G58" s="9"/>
      <c r="H58" s="9"/>
      <c r="I58" s="9"/>
      <c r="K58" s="26"/>
    </row>
    <row r="59" spans="1:18">
      <c r="A59" s="127"/>
      <c r="B59" s="18" t="s">
        <v>12</v>
      </c>
      <c r="C59" s="18" t="s">
        <v>8</v>
      </c>
      <c r="D59" s="18" t="s">
        <v>16</v>
      </c>
      <c r="E59" s="19"/>
      <c r="F59" s="19"/>
      <c r="G59" s="21"/>
      <c r="H59" s="19"/>
      <c r="I59" s="20" t="s">
        <v>11</v>
      </c>
      <c r="K59" s="26"/>
    </row>
    <row r="60" spans="1:18">
      <c r="A60" s="127"/>
      <c r="B60" s="31"/>
      <c r="C60" s="19"/>
      <c r="D60" s="19"/>
      <c r="E60" s="19"/>
      <c r="F60" s="19"/>
      <c r="G60" s="19"/>
      <c r="H60" s="19"/>
      <c r="I60" s="19"/>
      <c r="K60" s="26"/>
    </row>
    <row r="61" spans="1:18" ht="19.5" customHeight="1">
      <c r="A61" s="127"/>
      <c r="B61" s="156" t="s">
        <v>15</v>
      </c>
      <c r="C61" s="60"/>
      <c r="D61" s="60"/>
      <c r="E61" s="60"/>
      <c r="F61" s="60"/>
      <c r="G61" s="28"/>
      <c r="H61" s="28"/>
      <c r="I61" s="30"/>
      <c r="K61" s="26"/>
    </row>
    <row r="62" spans="1:18" ht="19.5" customHeight="1">
      <c r="A62" s="127"/>
      <c r="B62" s="157"/>
      <c r="C62" s="19"/>
      <c r="D62" s="19"/>
      <c r="E62" s="19"/>
      <c r="F62" s="19"/>
      <c r="G62" s="33"/>
      <c r="H62" s="33"/>
      <c r="I62" s="19"/>
      <c r="K62" s="26"/>
    </row>
    <row r="63" spans="1:18">
      <c r="A63" s="127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>
      <c r="A64" s="127"/>
      <c r="B64" s="153" t="s">
        <v>18</v>
      </c>
      <c r="C64" s="9" t="s">
        <v>6</v>
      </c>
      <c r="D64" s="9" t="s">
        <v>6</v>
      </c>
      <c r="E64" s="9" t="s">
        <v>6</v>
      </c>
      <c r="F64" s="9" t="s">
        <v>6</v>
      </c>
      <c r="G64" s="9" t="s">
        <v>6</v>
      </c>
      <c r="H64" s="9" t="s">
        <v>6</v>
      </c>
      <c r="I64" s="58" t="s">
        <v>7</v>
      </c>
      <c r="K64" s="26"/>
    </row>
    <row r="65" spans="1:14">
      <c r="A65" s="127"/>
      <c r="B65" s="154"/>
      <c r="C65" s="58" t="s">
        <v>7</v>
      </c>
      <c r="D65" s="58" t="s">
        <v>7</v>
      </c>
      <c r="E65" s="58" t="s">
        <v>7</v>
      </c>
      <c r="F65" s="58" t="s">
        <v>7</v>
      </c>
      <c r="G65" s="58" t="s">
        <v>7</v>
      </c>
      <c r="H65" s="58" t="s">
        <v>7</v>
      </c>
      <c r="I65" s="9" t="s">
        <v>9</v>
      </c>
      <c r="K65" s="26"/>
    </row>
    <row r="66" spans="1:14">
      <c r="A66" s="127"/>
      <c r="B66" s="154"/>
      <c r="C66" s="9" t="s">
        <v>9</v>
      </c>
      <c r="D66" s="9" t="s">
        <v>9</v>
      </c>
      <c r="E66" s="9" t="s">
        <v>11</v>
      </c>
      <c r="F66" s="9" t="s">
        <v>9</v>
      </c>
      <c r="G66" s="58" t="s">
        <v>9</v>
      </c>
      <c r="H66" s="58" t="s">
        <v>9</v>
      </c>
      <c r="I66" s="58" t="s">
        <v>6</v>
      </c>
      <c r="J66" s="34"/>
      <c r="K66" s="26"/>
    </row>
    <row r="67" spans="1:14">
      <c r="A67" s="127"/>
      <c r="B67" s="154"/>
      <c r="C67" s="9" t="s">
        <v>10</v>
      </c>
      <c r="D67" s="58" t="s">
        <v>14</v>
      </c>
      <c r="E67" s="9" t="s">
        <v>14</v>
      </c>
      <c r="F67" s="9" t="s">
        <v>14</v>
      </c>
      <c r="G67" s="9" t="s">
        <v>14</v>
      </c>
      <c r="H67" s="9" t="s">
        <v>16</v>
      </c>
      <c r="I67" s="9" t="s">
        <v>16</v>
      </c>
      <c r="K67" s="26"/>
    </row>
    <row r="68" spans="1:14">
      <c r="A68" s="127"/>
      <c r="B68" s="155"/>
      <c r="C68" s="58" t="s">
        <v>14</v>
      </c>
      <c r="D68" s="9" t="s">
        <v>10</v>
      </c>
      <c r="E68" s="9" t="s">
        <v>10</v>
      </c>
      <c r="F68" s="58" t="s">
        <v>10</v>
      </c>
      <c r="G68" s="9" t="s">
        <v>16</v>
      </c>
      <c r="H68" s="9" t="s">
        <v>14</v>
      </c>
      <c r="I68" s="58" t="s">
        <v>11</v>
      </c>
      <c r="K68" s="26"/>
    </row>
    <row r="69" spans="1:14">
      <c r="A69" s="127"/>
      <c r="B69" s="158" t="s">
        <v>12</v>
      </c>
      <c r="C69" s="19"/>
      <c r="D69" s="19"/>
      <c r="E69" s="18" t="s">
        <v>14</v>
      </c>
      <c r="F69" s="18" t="s">
        <v>10</v>
      </c>
      <c r="G69" s="18" t="s">
        <v>9</v>
      </c>
      <c r="H69" s="19"/>
      <c r="I69" s="20" t="s">
        <v>6</v>
      </c>
    </row>
    <row r="70" spans="1:14">
      <c r="A70" s="127"/>
      <c r="B70" s="159"/>
      <c r="C70" s="19"/>
      <c r="D70" s="19"/>
      <c r="E70" s="27"/>
      <c r="F70" s="27"/>
      <c r="G70" s="27"/>
      <c r="H70" s="19"/>
      <c r="I70" s="20" t="s">
        <v>7</v>
      </c>
    </row>
    <row r="71" spans="1:14">
      <c r="A71" s="127"/>
      <c r="B71" s="22" t="s">
        <v>15</v>
      </c>
      <c r="C71" s="19"/>
      <c r="D71" s="19"/>
      <c r="E71" s="19"/>
      <c r="F71" s="19"/>
      <c r="G71" s="33"/>
      <c r="H71" s="68" t="s">
        <v>10</v>
      </c>
      <c r="I71" s="19"/>
      <c r="K71" s="35"/>
      <c r="L71" s="35"/>
      <c r="M71" s="35"/>
      <c r="N71" s="35"/>
    </row>
    <row r="72" spans="1:14">
      <c r="A72" s="127"/>
      <c r="B72" s="25" t="s">
        <v>17</v>
      </c>
      <c r="C72" s="19"/>
      <c r="D72" s="19"/>
      <c r="E72" s="19"/>
      <c r="F72" s="19"/>
      <c r="G72" s="19"/>
      <c r="H72" s="19"/>
      <c r="I72" s="19"/>
      <c r="K72" s="35"/>
      <c r="L72" s="35"/>
      <c r="M72" s="35"/>
      <c r="N72" s="35"/>
    </row>
    <row r="73" spans="1:14">
      <c r="B73" s="4"/>
      <c r="C73" s="15">
        <f>COUNTA(C54:C58,C64:C68)</f>
        <v>9</v>
      </c>
      <c r="D73" s="15">
        <f t="shared" ref="D73:I73" si="2">COUNTA(D54:D58,D64:D68)</f>
        <v>10</v>
      </c>
      <c r="E73" s="15">
        <f t="shared" si="2"/>
        <v>9</v>
      </c>
      <c r="F73" s="15">
        <f t="shared" si="2"/>
        <v>9</v>
      </c>
      <c r="G73" s="15">
        <f t="shared" si="2"/>
        <v>9</v>
      </c>
      <c r="H73" s="15">
        <f t="shared" si="2"/>
        <v>8</v>
      </c>
      <c r="I73" s="15">
        <f t="shared" si="2"/>
        <v>9</v>
      </c>
      <c r="K73" s="36"/>
      <c r="L73" s="35"/>
      <c r="M73" s="35"/>
      <c r="N73" s="35"/>
    </row>
    <row r="74" spans="1:14">
      <c r="A74" s="127" t="s">
        <v>21</v>
      </c>
      <c r="B74" s="6" t="s">
        <v>3</v>
      </c>
      <c r="C74" s="6" t="s">
        <v>98</v>
      </c>
      <c r="D74" s="6" t="s">
        <v>99</v>
      </c>
      <c r="E74" s="6" t="s">
        <v>100</v>
      </c>
      <c r="F74" s="6" t="s">
        <v>101</v>
      </c>
      <c r="G74" s="6" t="s">
        <v>102</v>
      </c>
      <c r="H74" s="6" t="s">
        <v>103</v>
      </c>
      <c r="I74" s="6" t="s">
        <v>104</v>
      </c>
      <c r="K74" s="35"/>
      <c r="L74" s="35"/>
      <c r="M74" s="35"/>
      <c r="N74" s="35"/>
    </row>
    <row r="75" spans="1:14">
      <c r="A75" s="127"/>
      <c r="B75" s="153" t="s">
        <v>5</v>
      </c>
      <c r="C75" s="58" t="s">
        <v>8</v>
      </c>
      <c r="D75" s="9" t="s">
        <v>8</v>
      </c>
      <c r="E75" s="9" t="s">
        <v>8</v>
      </c>
      <c r="F75" s="9" t="s">
        <v>8</v>
      </c>
      <c r="G75" s="9" t="s">
        <v>8</v>
      </c>
      <c r="H75" s="9" t="s">
        <v>8</v>
      </c>
      <c r="I75" s="9" t="s">
        <v>8</v>
      </c>
      <c r="K75" s="37"/>
      <c r="L75" s="35"/>
      <c r="M75" s="35"/>
      <c r="N75" s="35"/>
    </row>
    <row r="76" spans="1:14">
      <c r="A76" s="127"/>
      <c r="B76" s="154"/>
      <c r="C76" s="9" t="s">
        <v>11</v>
      </c>
      <c r="D76" s="58" t="s">
        <v>16</v>
      </c>
      <c r="E76" s="9" t="s">
        <v>16</v>
      </c>
      <c r="F76" s="9" t="s">
        <v>16</v>
      </c>
      <c r="G76" s="9" t="s">
        <v>16</v>
      </c>
      <c r="H76" s="9" t="s">
        <v>10</v>
      </c>
      <c r="I76" s="9" t="s">
        <v>10</v>
      </c>
      <c r="K76" s="11"/>
    </row>
    <row r="77" spans="1:14">
      <c r="A77" s="127"/>
      <c r="B77" s="154"/>
      <c r="C77" s="9" t="s">
        <v>16</v>
      </c>
      <c r="D77" s="58" t="s">
        <v>10</v>
      </c>
      <c r="E77" s="9" t="s">
        <v>10</v>
      </c>
      <c r="F77" s="58" t="s">
        <v>10</v>
      </c>
      <c r="G77" s="58" t="s">
        <v>10</v>
      </c>
      <c r="H77" s="9" t="s">
        <v>11</v>
      </c>
      <c r="I77" s="58" t="s">
        <v>11</v>
      </c>
      <c r="K77" s="11"/>
    </row>
    <row r="78" spans="1:14">
      <c r="A78" s="127"/>
      <c r="B78" s="154"/>
      <c r="C78" s="9" t="s">
        <v>14</v>
      </c>
      <c r="D78" s="9" t="s">
        <v>11</v>
      </c>
      <c r="E78" s="9" t="s">
        <v>9</v>
      </c>
      <c r="F78" s="9" t="s">
        <v>11</v>
      </c>
      <c r="G78" s="9" t="s">
        <v>11</v>
      </c>
      <c r="H78" s="9" t="s">
        <v>14</v>
      </c>
      <c r="I78" s="58" t="s">
        <v>14</v>
      </c>
      <c r="K78" s="11"/>
    </row>
    <row r="79" spans="1:14">
      <c r="A79" s="127"/>
      <c r="B79" s="155"/>
      <c r="C79" s="58" t="s">
        <v>7</v>
      </c>
      <c r="D79" s="9" t="s">
        <v>7</v>
      </c>
      <c r="E79" s="9"/>
      <c r="F79" s="9"/>
      <c r="G79" s="17"/>
      <c r="H79" s="9"/>
      <c r="I79" s="58" t="s">
        <v>6</v>
      </c>
      <c r="K79" s="11"/>
    </row>
    <row r="80" spans="1:14">
      <c r="A80" s="127"/>
      <c r="B80" s="18" t="s">
        <v>12</v>
      </c>
      <c r="C80" s="18" t="s">
        <v>8</v>
      </c>
      <c r="D80" s="18" t="s">
        <v>16</v>
      </c>
      <c r="E80" s="19"/>
      <c r="F80" s="18" t="s">
        <v>10</v>
      </c>
      <c r="G80" s="21"/>
      <c r="H80" s="19"/>
      <c r="I80" s="20" t="s">
        <v>11</v>
      </c>
    </row>
    <row r="81" spans="1:9">
      <c r="A81" s="127"/>
      <c r="B81" s="18"/>
      <c r="C81" s="18" t="s">
        <v>7</v>
      </c>
      <c r="D81" s="19"/>
      <c r="E81" s="19"/>
      <c r="F81" s="19"/>
      <c r="G81" s="19"/>
      <c r="H81" s="19"/>
      <c r="I81" s="20" t="s">
        <v>6</v>
      </c>
    </row>
    <row r="82" spans="1:9">
      <c r="A82" s="127"/>
      <c r="B82" s="22" t="s">
        <v>15</v>
      </c>
      <c r="C82" s="19"/>
      <c r="D82" s="19"/>
      <c r="E82" s="19"/>
      <c r="F82" s="19"/>
      <c r="G82" s="33"/>
      <c r="H82" s="33"/>
      <c r="I82" s="19"/>
    </row>
    <row r="83" spans="1:9">
      <c r="A83" s="127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>
      <c r="A84" s="127"/>
      <c r="B84" s="153" t="s">
        <v>18</v>
      </c>
      <c r="C84" s="9" t="s">
        <v>6</v>
      </c>
      <c r="D84" s="9" t="s">
        <v>6</v>
      </c>
      <c r="E84" s="9" t="s">
        <v>6</v>
      </c>
      <c r="F84" s="9" t="s">
        <v>6</v>
      </c>
      <c r="G84" s="9" t="s">
        <v>6</v>
      </c>
      <c r="H84" s="9" t="s">
        <v>6</v>
      </c>
      <c r="I84" s="114" t="s">
        <v>6</v>
      </c>
    </row>
    <row r="85" spans="1:9">
      <c r="A85" s="127"/>
      <c r="B85" s="154"/>
      <c r="C85" s="58" t="s">
        <v>7</v>
      </c>
      <c r="D85" s="58" t="s">
        <v>7</v>
      </c>
      <c r="E85" s="9" t="s">
        <v>7</v>
      </c>
      <c r="F85" s="9" t="s">
        <v>7</v>
      </c>
      <c r="G85" s="9" t="s">
        <v>7</v>
      </c>
      <c r="H85" s="9" t="s">
        <v>7</v>
      </c>
      <c r="I85" s="58" t="s">
        <v>7</v>
      </c>
    </row>
    <row r="86" spans="1:9">
      <c r="A86" s="127"/>
      <c r="B86" s="154"/>
      <c r="C86" s="9" t="s">
        <v>9</v>
      </c>
      <c r="D86" s="9" t="s">
        <v>9</v>
      </c>
      <c r="E86" s="9" t="s">
        <v>11</v>
      </c>
      <c r="F86" s="9" t="s">
        <v>9</v>
      </c>
      <c r="G86" s="58" t="s">
        <v>9</v>
      </c>
      <c r="H86" s="9" t="s">
        <v>9</v>
      </c>
      <c r="I86" s="9" t="s">
        <v>9</v>
      </c>
    </row>
    <row r="87" spans="1:9">
      <c r="A87" s="127"/>
      <c r="B87" s="154"/>
      <c r="C87" s="9" t="s">
        <v>10</v>
      </c>
      <c r="D87" s="58" t="s">
        <v>14</v>
      </c>
      <c r="E87" s="58" t="s">
        <v>14</v>
      </c>
      <c r="F87" s="58" t="s">
        <v>14</v>
      </c>
      <c r="G87" s="58" t="s">
        <v>14</v>
      </c>
      <c r="H87" s="17" t="s">
        <v>16</v>
      </c>
      <c r="I87" s="17" t="s">
        <v>16</v>
      </c>
    </row>
    <row r="88" spans="1:9">
      <c r="A88" s="127"/>
      <c r="B88" s="155"/>
      <c r="C88" s="58" t="s">
        <v>14</v>
      </c>
      <c r="D88" s="9" t="s">
        <v>10</v>
      </c>
      <c r="E88" s="9"/>
      <c r="F88" s="58" t="s">
        <v>10</v>
      </c>
      <c r="G88" s="9" t="s">
        <v>10</v>
      </c>
      <c r="H88" s="58" t="s">
        <v>14</v>
      </c>
      <c r="I88" s="58" t="s">
        <v>14</v>
      </c>
    </row>
    <row r="89" spans="1:9">
      <c r="A89" s="127"/>
      <c r="B89" s="158" t="s">
        <v>12</v>
      </c>
      <c r="C89" s="19"/>
      <c r="D89" s="19"/>
      <c r="E89" s="27"/>
      <c r="F89" s="19"/>
      <c r="G89" s="18" t="s">
        <v>9</v>
      </c>
      <c r="H89" s="19"/>
      <c r="I89" s="20" t="s">
        <v>7</v>
      </c>
    </row>
    <row r="90" spans="1:9">
      <c r="A90" s="127"/>
      <c r="B90" s="159"/>
      <c r="C90" s="19"/>
      <c r="D90" s="19"/>
      <c r="E90" s="19"/>
      <c r="F90" s="19"/>
      <c r="G90" s="19"/>
      <c r="H90" s="19"/>
      <c r="I90" s="19"/>
    </row>
    <row r="91" spans="1:9">
      <c r="A91" s="127"/>
      <c r="B91" s="156" t="s">
        <v>15</v>
      </c>
      <c r="C91" s="19"/>
      <c r="D91" s="19"/>
      <c r="E91" s="19"/>
      <c r="F91" s="19"/>
      <c r="G91" s="33"/>
      <c r="H91" s="19"/>
      <c r="I91" s="19"/>
    </row>
    <row r="92" spans="1:9">
      <c r="A92" s="127"/>
      <c r="B92" s="157"/>
      <c r="C92" s="19"/>
      <c r="D92" s="30"/>
      <c r="E92" s="27"/>
      <c r="F92" s="19"/>
      <c r="G92" s="23"/>
      <c r="H92" s="29"/>
      <c r="I92" s="33"/>
    </row>
    <row r="93" spans="1:9">
      <c r="A93" s="127"/>
      <c r="B93" s="25" t="s">
        <v>17</v>
      </c>
      <c r="C93" s="19"/>
      <c r="D93" s="25"/>
      <c r="E93" s="25"/>
      <c r="F93" s="25"/>
      <c r="G93" s="25"/>
      <c r="H93" s="25"/>
      <c r="I93" s="25"/>
    </row>
    <row r="94" spans="1:9">
      <c r="B94" s="4"/>
      <c r="C94" s="15">
        <f>COUNTA(C75:C79,C84:C88)</f>
        <v>10</v>
      </c>
      <c r="D94" s="15">
        <f t="shared" ref="D94:I94" si="3">COUNTA(D75:D79,D84:D88)</f>
        <v>10</v>
      </c>
      <c r="E94" s="15">
        <f t="shared" si="3"/>
        <v>8</v>
      </c>
      <c r="F94" s="15">
        <f t="shared" si="3"/>
        <v>9</v>
      </c>
      <c r="G94" s="15">
        <f t="shared" si="3"/>
        <v>9</v>
      </c>
      <c r="H94" s="15">
        <f t="shared" si="3"/>
        <v>9</v>
      </c>
      <c r="I94" s="15">
        <f t="shared" si="3"/>
        <v>10</v>
      </c>
    </row>
    <row r="95" spans="1:9">
      <c r="A95" s="127" t="s">
        <v>22</v>
      </c>
      <c r="B95" s="6" t="s">
        <v>3</v>
      </c>
      <c r="C95" s="6" t="s">
        <v>105</v>
      </c>
      <c r="D95" s="6" t="s">
        <v>106</v>
      </c>
      <c r="E95" s="6" t="s">
        <v>107</v>
      </c>
      <c r="F95" s="6" t="s">
        <v>108</v>
      </c>
      <c r="G95" s="6" t="s">
        <v>109</v>
      </c>
      <c r="H95" s="6" t="s">
        <v>110</v>
      </c>
      <c r="I95" s="6" t="s">
        <v>111</v>
      </c>
    </row>
    <row r="96" spans="1:9">
      <c r="A96" s="127"/>
      <c r="B96" s="153" t="s">
        <v>5</v>
      </c>
      <c r="C96" s="9" t="s">
        <v>8</v>
      </c>
      <c r="D96" s="9" t="s">
        <v>8</v>
      </c>
      <c r="E96" s="9" t="s">
        <v>8</v>
      </c>
      <c r="F96" s="9" t="s">
        <v>8</v>
      </c>
      <c r="G96" s="45" t="s">
        <v>8</v>
      </c>
      <c r="H96" s="9" t="s">
        <v>8</v>
      </c>
      <c r="I96" s="9" t="s">
        <v>8</v>
      </c>
    </row>
    <row r="97" spans="1:9">
      <c r="A97" s="127"/>
      <c r="B97" s="154"/>
      <c r="C97" s="9" t="s">
        <v>11</v>
      </c>
      <c r="D97" s="58" t="s">
        <v>16</v>
      </c>
      <c r="E97" s="9" t="s">
        <v>16</v>
      </c>
      <c r="F97" s="9" t="s">
        <v>16</v>
      </c>
      <c r="G97" s="45" t="s">
        <v>16</v>
      </c>
      <c r="H97" s="9" t="s">
        <v>10</v>
      </c>
      <c r="I97" s="9" t="s">
        <v>10</v>
      </c>
    </row>
    <row r="98" spans="1:9">
      <c r="A98" s="127"/>
      <c r="B98" s="154"/>
      <c r="C98" s="9" t="s">
        <v>16</v>
      </c>
      <c r="D98" s="9" t="s">
        <v>10</v>
      </c>
      <c r="E98" s="9" t="s">
        <v>10</v>
      </c>
      <c r="F98" s="58" t="s">
        <v>10</v>
      </c>
      <c r="G98" s="58" t="s">
        <v>10</v>
      </c>
      <c r="H98" s="9" t="s">
        <v>11</v>
      </c>
      <c r="I98" s="58" t="s">
        <v>11</v>
      </c>
    </row>
    <row r="99" spans="1:9">
      <c r="A99" s="127"/>
      <c r="B99" s="154"/>
      <c r="C99" s="9" t="s">
        <v>7</v>
      </c>
      <c r="D99" s="9" t="s">
        <v>11</v>
      </c>
      <c r="E99" s="9" t="s">
        <v>9</v>
      </c>
      <c r="F99" s="9" t="s">
        <v>11</v>
      </c>
      <c r="G99" s="45" t="s">
        <v>11</v>
      </c>
      <c r="H99" s="9"/>
      <c r="I99" s="58" t="s">
        <v>6</v>
      </c>
    </row>
    <row r="100" spans="1:9">
      <c r="A100" s="127"/>
      <c r="B100" s="155"/>
      <c r="C100" s="9"/>
      <c r="D100" s="9"/>
      <c r="E100" s="9"/>
      <c r="F100" s="9"/>
      <c r="G100" s="45"/>
      <c r="H100" s="9"/>
      <c r="I100" s="9"/>
    </row>
    <row r="101" spans="1:9">
      <c r="A101" s="127"/>
      <c r="B101" s="18" t="s">
        <v>12</v>
      </c>
      <c r="C101" s="18" t="s">
        <v>138</v>
      </c>
      <c r="D101" s="18" t="s">
        <v>16</v>
      </c>
      <c r="E101" s="19"/>
      <c r="F101" s="20" t="s">
        <v>10</v>
      </c>
      <c r="G101" s="47"/>
      <c r="H101" s="19"/>
      <c r="I101" s="20" t="s">
        <v>11</v>
      </c>
    </row>
    <row r="102" spans="1:9">
      <c r="A102" s="127"/>
      <c r="B102" s="18"/>
      <c r="C102" s="19"/>
      <c r="D102" s="19"/>
      <c r="E102" s="19"/>
      <c r="F102" s="19"/>
      <c r="G102" s="47"/>
      <c r="H102" s="19"/>
      <c r="I102" s="20" t="s">
        <v>6</v>
      </c>
    </row>
    <row r="103" spans="1:9">
      <c r="A103" s="127"/>
      <c r="B103" s="22" t="s">
        <v>15</v>
      </c>
      <c r="C103" s="19"/>
      <c r="D103" s="19"/>
      <c r="E103" s="19"/>
      <c r="F103" s="19"/>
      <c r="G103" s="47"/>
      <c r="H103" s="19"/>
      <c r="I103" s="19"/>
    </row>
    <row r="104" spans="1:9">
      <c r="A104" s="127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>
      <c r="A105" s="127"/>
      <c r="B105" s="153" t="s">
        <v>18</v>
      </c>
      <c r="C105" s="9" t="s">
        <v>6</v>
      </c>
      <c r="D105" s="9" t="s">
        <v>6</v>
      </c>
      <c r="E105" s="9" t="s">
        <v>6</v>
      </c>
      <c r="F105" s="9" t="s">
        <v>6</v>
      </c>
      <c r="G105" s="45" t="s">
        <v>6</v>
      </c>
      <c r="H105" s="9" t="s">
        <v>6</v>
      </c>
      <c r="I105" s="114" t="s">
        <v>6</v>
      </c>
    </row>
    <row r="106" spans="1:9">
      <c r="A106" s="127"/>
      <c r="B106" s="154"/>
      <c r="C106" s="58" t="s">
        <v>7</v>
      </c>
      <c r="D106" s="9" t="s">
        <v>7</v>
      </c>
      <c r="E106" s="9" t="s">
        <v>7</v>
      </c>
      <c r="F106" s="9" t="s">
        <v>7</v>
      </c>
      <c r="G106" s="9" t="s">
        <v>7</v>
      </c>
      <c r="H106" s="9" t="s">
        <v>7</v>
      </c>
      <c r="I106" s="9" t="s">
        <v>7</v>
      </c>
    </row>
    <row r="107" spans="1:9">
      <c r="A107" s="127"/>
      <c r="B107" s="154"/>
      <c r="C107" s="9" t="s">
        <v>9</v>
      </c>
      <c r="D107" s="9" t="s">
        <v>9</v>
      </c>
      <c r="E107" s="9" t="s">
        <v>11</v>
      </c>
      <c r="F107" s="9" t="s">
        <v>9</v>
      </c>
      <c r="G107" s="58" t="s">
        <v>9</v>
      </c>
      <c r="H107" s="9" t="s">
        <v>9</v>
      </c>
      <c r="I107" s="9" t="s">
        <v>9</v>
      </c>
    </row>
    <row r="108" spans="1:9">
      <c r="A108" s="127"/>
      <c r="B108" s="154"/>
      <c r="C108" s="9" t="s">
        <v>10</v>
      </c>
      <c r="D108" s="58" t="s">
        <v>14</v>
      </c>
      <c r="E108" s="58" t="s">
        <v>14</v>
      </c>
      <c r="F108" s="58" t="s">
        <v>14</v>
      </c>
      <c r="G108" s="58" t="s">
        <v>14</v>
      </c>
      <c r="H108" s="17" t="s">
        <v>16</v>
      </c>
      <c r="I108" s="17" t="s">
        <v>16</v>
      </c>
    </row>
    <row r="109" spans="1:9">
      <c r="A109" s="127"/>
      <c r="B109" s="155"/>
      <c r="C109" s="58" t="s">
        <v>14</v>
      </c>
      <c r="D109" s="9"/>
      <c r="E109" s="9"/>
      <c r="F109" s="9"/>
      <c r="G109" s="45" t="s">
        <v>10</v>
      </c>
      <c r="H109" s="58" t="s">
        <v>14</v>
      </c>
      <c r="I109" s="58" t="s">
        <v>14</v>
      </c>
    </row>
    <row r="110" spans="1:9">
      <c r="A110" s="127"/>
      <c r="B110" s="158" t="s">
        <v>12</v>
      </c>
      <c r="C110" s="19"/>
      <c r="D110" s="27"/>
      <c r="E110" s="27"/>
      <c r="F110" s="27"/>
      <c r="G110" s="18" t="s">
        <v>9</v>
      </c>
      <c r="H110" s="29"/>
      <c r="I110" s="20" t="s">
        <v>7</v>
      </c>
    </row>
    <row r="111" spans="1:9">
      <c r="A111" s="127"/>
      <c r="B111" s="160"/>
      <c r="C111" s="19"/>
      <c r="D111" s="19"/>
      <c r="E111" s="27"/>
      <c r="F111" s="19"/>
      <c r="G111" s="48"/>
      <c r="H111" s="29"/>
      <c r="I111" s="19"/>
    </row>
    <row r="112" spans="1:9">
      <c r="A112" s="127"/>
      <c r="B112" s="159"/>
      <c r="C112" s="28"/>
      <c r="D112" s="27"/>
      <c r="E112" s="27"/>
      <c r="F112" s="27"/>
      <c r="G112" s="48"/>
      <c r="H112" s="29"/>
      <c r="I112" s="19"/>
    </row>
    <row r="113" spans="1:16">
      <c r="A113" s="127"/>
      <c r="B113" s="161" t="s">
        <v>15</v>
      </c>
      <c r="C113" s="19"/>
      <c r="D113" s="19"/>
      <c r="E113" s="19"/>
      <c r="F113" s="19"/>
      <c r="G113" s="47"/>
      <c r="H113" s="19"/>
      <c r="I113" s="19"/>
    </row>
    <row r="114" spans="1:16">
      <c r="A114" s="127"/>
      <c r="B114" s="162"/>
      <c r="C114" s="19"/>
      <c r="D114" s="30"/>
      <c r="E114" s="27"/>
      <c r="F114" s="19"/>
      <c r="G114" s="49"/>
      <c r="H114" s="27"/>
      <c r="I114" s="33"/>
    </row>
    <row r="115" spans="1:16">
      <c r="A115" s="127"/>
      <c r="B115" s="25" t="s">
        <v>17</v>
      </c>
      <c r="C115" s="19"/>
      <c r="D115" s="25"/>
      <c r="E115" s="25"/>
      <c r="F115" s="25"/>
      <c r="G115" s="25"/>
      <c r="H115" s="25"/>
      <c r="I115" s="25"/>
    </row>
    <row r="116" spans="1:16">
      <c r="C116" s="15">
        <f t="shared" ref="C116:I116" si="4">COUNTA(C96:C100,C105:C109)</f>
        <v>9</v>
      </c>
      <c r="D116" s="15">
        <f t="shared" si="4"/>
        <v>8</v>
      </c>
      <c r="E116" s="15">
        <f t="shared" si="4"/>
        <v>8</v>
      </c>
      <c r="F116" s="15">
        <f t="shared" si="4"/>
        <v>8</v>
      </c>
      <c r="G116" s="15">
        <f t="shared" si="4"/>
        <v>9</v>
      </c>
      <c r="H116" s="15">
        <f t="shared" si="4"/>
        <v>8</v>
      </c>
      <c r="I116" s="15">
        <f t="shared" si="4"/>
        <v>9</v>
      </c>
    </row>
    <row r="118" spans="1:16">
      <c r="D118" s="2"/>
      <c r="E118" s="2"/>
    </row>
    <row r="119" spans="1:16">
      <c r="C119" s="126" t="s">
        <v>27</v>
      </c>
      <c r="D119" s="126"/>
      <c r="E119" s="126"/>
      <c r="F119" s="126"/>
      <c r="G119" s="126"/>
      <c r="I119" s="126" t="s">
        <v>28</v>
      </c>
      <c r="J119" s="126"/>
      <c r="K119" s="126"/>
      <c r="L119" s="126"/>
      <c r="M119" s="126"/>
    </row>
    <row r="120" spans="1:16">
      <c r="D120" s="2" t="s">
        <v>29</v>
      </c>
      <c r="E120" s="2" t="s">
        <v>30</v>
      </c>
      <c r="F120" t="s">
        <v>31</v>
      </c>
      <c r="G120" t="s">
        <v>32</v>
      </c>
      <c r="I120" s="2" t="s">
        <v>29</v>
      </c>
      <c r="J120" s="2" t="s">
        <v>30</v>
      </c>
      <c r="K120" t="s">
        <v>31</v>
      </c>
      <c r="L120" t="s">
        <v>32</v>
      </c>
      <c r="M120" s="2"/>
      <c r="N120" s="2" t="s">
        <v>33</v>
      </c>
      <c r="O120" s="2" t="s">
        <v>34</v>
      </c>
    </row>
    <row r="121" spans="1:16">
      <c r="B121" t="s">
        <v>4</v>
      </c>
      <c r="C121" s="38" t="s">
        <v>16</v>
      </c>
      <c r="D121" s="39">
        <f>COUNTIF($C$8:$I$12,"Mario")-COUNTIF($C$14:$I$19,"Mario")+COUNTIF($C$33:$I$37,"Mario")-COUNTIF($C$38:$I$42,"Mario")+COUNTIF($C$54:$E$58,"Mario")-COUNTIF($C$59:$E$63,"Mario")</f>
        <v>8</v>
      </c>
      <c r="E121" s="39">
        <f>COUNTIF($C$20:$I$24,"Mario")-COUNTIF($C$25:$I$30,"Mario")+COUNTIF($C$43:$I$47,"Mario")-COUNTIF($C$48:$I$51,"Mario")+COUNTIF($C$64:$E$68,"Mario")-COUNTIF($C$69:$E$72,"Mario")</f>
        <v>10</v>
      </c>
      <c r="F121" s="39">
        <f>+COUNTIF($C$14:$I$19,"Mario")+COUNTIF($C$38:$I$42,"Mario")+COUNTIF($C$59:$E$63,"Mario")+COUNTIF($C$25:$I$30,"Mario")+COUNTIF($C$48:$I$51,"Mario")+COUNTIF($C$69:$E$72,"Mario")</f>
        <v>3</v>
      </c>
      <c r="G121" s="40">
        <f>+F121+E121+D121</f>
        <v>21</v>
      </c>
      <c r="H121" s="38" t="s">
        <v>16</v>
      </c>
      <c r="I121" s="39">
        <f>COUNTIF($C$54:$I$58,"Mario")-COUNTIF($C$59:$I$63,"Mario")+COUNTIF($C$75:$I$79,"Mario")-COUNTIF($C$80:$I$83,"Mario")+COUNTIF($C$96:$D$100,"Mario")-COUNTIF($C$101:$D$104,"Mario")</f>
        <v>9</v>
      </c>
      <c r="J121" s="39">
        <f>COUNTIF($C$64:$I$68,"Mario")-COUNTIF($C$69:$I$72,"Mario")+COUNTIF($C$84:$I$88,"Mario")-COUNTIF($C$89:$I$93,"Mario")+COUNTIF($C$105:$D$109,"Mario")-COUNTIF($C$110:$D$115,"Mario")</f>
        <v>5</v>
      </c>
      <c r="K121" s="39">
        <f>COUNTIF($C$59:$I$63,"Mario")+COUNTIF($C$80:$I$83,"Mario")+COUNTIF($C$101:$D$104,"Mario")+COUNTIF($C$69:$I$72,"Mario")+COUNTIF($C$89:$I$93,"Mario")+COUNTIF($C$110:$D$115,"Mario")</f>
        <v>3</v>
      </c>
      <c r="L121" s="40">
        <f t="shared" ref="L121:L128" si="5">+K121+J121+I121</f>
        <v>17</v>
      </c>
      <c r="N121">
        <v>3</v>
      </c>
    </row>
    <row r="122" spans="1:16">
      <c r="C122" t="s">
        <v>7</v>
      </c>
      <c r="D122" s="39">
        <f>COUNTIF($C$8:$I$12,"Edwin")-COUNTIF($C$14:$I$19,"Edwin")+COUNTIF($C$33:$I$37,"Edwin")-COUNTIF($C$38:$I$42,"Edwin")+COUNTIF($C$54:$E$58,"Edwin")-COUNTIF($C$59:$E$63,"Edwin")</f>
        <v>4</v>
      </c>
      <c r="E122" s="39">
        <f>COUNTIF($C$20:$I$24,"Edwin")-COUNTIF($C$25:$I$30,"Edwin")+COUNTIF($C$43:$I$47,"Edwin")-COUNTIF($C$48:$I$51,"Edwin")+COUNTIF($C$64:$E$68,"Edwin")-COUNTIF($C$69:$E$72,"Edwin")</f>
        <v>12</v>
      </c>
      <c r="F122" s="39">
        <f>+COUNTIF($C$14:$I$19,"Edwin")+COUNTIF($C$38:$I$42,"Edwin")+COUNTIF($C$59:$E$63,"Edwin")+COUNTIF($C$25:$I$30,"Edwin")+COUNTIF($C$48:$I$51,"Edwin")+COUNTIF($C$69:$E$72,"Edwin")</f>
        <v>0</v>
      </c>
      <c r="G122" s="40">
        <f t="shared" ref="G122:G128" si="6">+F122+E122+D122</f>
        <v>16</v>
      </c>
      <c r="H122" t="s">
        <v>7</v>
      </c>
      <c r="I122" s="39">
        <f>COUNTIF($C$54:$I$58,"Edwin")-COUNTIF($C$59:$I$63,"Edwin")+COUNTIF($C$75:$I$79,"Edwin")-COUNTIF($C$80:$I$83,"Edwin")+COUNTIF($C$96:$D$100,"Edwin")-COUNTIF($C$101:$D$104,"Edwin")</f>
        <v>2</v>
      </c>
      <c r="J122" s="39">
        <f>COUNTIF($C$64:$I$68,"Edwin")-COUNTIF($C$69:$I$72,"Edwin")+COUNTIF($C$84:$I$88,"Edwin")-COUNTIF($C$89:$I$93,"Edwin")+COUNTIF($C$105:$D$109,"Edwin")-COUNTIF($C$110:$D$115,"Edwin")</f>
        <v>14</v>
      </c>
      <c r="K122" s="39">
        <f>COUNTIF($C$59:$I$63,"Edwin")+COUNTIF($C$80:$I$83,"Edwin")+COUNTIF($C$101:$D$104,"Edwin")+COUNTIF($C$69:$I$72,"Edwin")+COUNTIF($C$89:$I$93,"Edwin")+COUNTIF($C$110:$D$115,"Edwin")</f>
        <v>3</v>
      </c>
      <c r="L122" s="41">
        <f t="shared" si="5"/>
        <v>19</v>
      </c>
      <c r="N122">
        <v>3</v>
      </c>
    </row>
    <row r="123" spans="1:16">
      <c r="C123" s="38" t="s">
        <v>10</v>
      </c>
      <c r="D123" s="39">
        <f>COUNTIF($C$8:$I$12,"Rene")-COUNTIF($C$14:$I$19,"Rene")+COUNTIF($C$33:$I$37,"Rene")-COUNTIF($C$38:$I$42,"Rene")+COUNTIF($C$54:$E$58,"Rene")-COUNTIF($C$59:$E$63,"Rene")</f>
        <v>9</v>
      </c>
      <c r="E123" s="39">
        <f>COUNTIF($C$20:$I$24,"Rene")-COUNTIF($C$25:$I$30,"Rene")+COUNTIF($C$43:$I$47,"Rene")-COUNTIF($C$48:$I$51,"Rene")+COUNTIF($C$64:$E$68,"Rene")-COUNTIF($C$69:$E$72,"Rene")</f>
        <v>12</v>
      </c>
      <c r="F123" s="39">
        <f>+COUNTIF($C$14:$I$19,"Rene")+COUNTIF($C$38:$I$42,"Rene")+COUNTIF($C$59:$E$63,"Rene")+COUNTIF($C$25:$I$30,"Rene")+COUNTIF($C$48:$I$51,"Rene")+COUNTIF($C$69:$E$72,"Rene")</f>
        <v>1</v>
      </c>
      <c r="G123" s="40">
        <f t="shared" si="6"/>
        <v>22</v>
      </c>
      <c r="H123" s="38" t="s">
        <v>10</v>
      </c>
      <c r="I123" s="39">
        <f>COUNTIF($C$54:$I$58,"Rene")-COUNTIF($C$59:$I$63,"Rene")+COUNTIF($C$75:$I$79,"Rene")-COUNTIF($C$80:$I$83,"Rene")+COUNTIF($C$96:$D$100,"Rene")-COUNTIF($C$101:$D$104,"Rene")</f>
        <v>12</v>
      </c>
      <c r="J123" s="39">
        <f>COUNTIF($C$64:$I$68,"Rene")-COUNTIF($C$69:$I$72,"Rene")+COUNTIF($C$84:$I$88,"Rene")-COUNTIF($C$89:$I$93,"Rene")+COUNTIF($C$105:$D$109,"Rene")-COUNTIF($C$110:$D$115,"Rene")</f>
        <v>7</v>
      </c>
      <c r="K123" s="39">
        <f>COUNTIF($C$59:$I$63,"Rene")+COUNTIF($C$80:$I$83,"Rene")+COUNTIF($C$101:$D$104,"Rene")+COUNTIF($C$69:$I$72,"Rene")+COUNTIF($C$89:$I$93,"Rene")+COUNTIF($C$110:$D$115,"Rene")</f>
        <v>3</v>
      </c>
      <c r="L123" s="40">
        <f t="shared" si="5"/>
        <v>22</v>
      </c>
      <c r="N123">
        <v>2</v>
      </c>
      <c r="O123">
        <v>1</v>
      </c>
      <c r="P123" t="s">
        <v>35</v>
      </c>
    </row>
    <row r="124" spans="1:16">
      <c r="C124" t="s">
        <v>9</v>
      </c>
      <c r="D124" s="39">
        <f>COUNTIF($C$8:$I$12,"Luis D")-COUNTIF($C$14:$I$19,"Luis D")+COUNTIF($C$33:$I$37,"Luis D")-COUNTIF($C$38:$I$42,"Luis D")+COUNTIF($C$54:$E$58,"Luis D")-COUNTIF($C$59:$E$63,"Luis D")</f>
        <v>7</v>
      </c>
      <c r="E124" s="39">
        <f>COUNTIF($C$20:$I$24,"Luis D")-COUNTIF($C$25:$I$30,"Luis D")+COUNTIF($C$43:$I$47,"Luis D")-COUNTIF($C$48:$I$51,"Luis D")+COUNTIF($C$64:$E$68,"Luis D")-COUNTIF($C$69:$E$72,"Luis D")</f>
        <v>9</v>
      </c>
      <c r="F124" s="39">
        <f>+COUNTIF($C$14:$I$19,"Luis D")+COUNTIF($C$38:$I$42,"Luis D")+COUNTIF($C$59:$E$63,"Luis D")+COUNTIF($C$25:$I$30,"Luis D")+COUNTIF($C$48:$I$51,"Luis D")+COUNTIF($C$69:$E$72,"Luis D")</f>
        <v>3</v>
      </c>
      <c r="G124" s="40">
        <f t="shared" si="6"/>
        <v>19</v>
      </c>
      <c r="H124" t="s">
        <v>9</v>
      </c>
      <c r="I124" s="39">
        <f>COUNTIF($C$54:$I$58,"Luis D")-COUNTIF($C$59:$I$63,"Luis D")+COUNTIF($C$75:$I$79,"Luis D")-COUNTIF($C$80:$I$83,"Luis D")+COUNTIF($C$96:$D$100,"Luis D")-COUNTIF($C$101:$D$104,"Luis D")</f>
        <v>2</v>
      </c>
      <c r="J124" s="39">
        <f>COUNTIF($C$64:$I$68,"Luis D")-COUNTIF($C$69:$I$72,"Luis D")+COUNTIF($C$84:$I$88,"Luis D")-COUNTIF($C$89:$I$93,"Luis D")+COUNTIF($C$105:$D$109,"Luis D")-COUNTIF($C$110:$D$115,"Luis D")</f>
        <v>12</v>
      </c>
      <c r="K124" s="39">
        <f>COUNTIF($C$59:$I$63,"Luis D")+COUNTIF($C$80:$I$83,"Luis D")+COUNTIF($C$101:$D$104,"Luis D")+COUNTIF($C$69:$I$72,"Luis D")+COUNTIF($C$89:$I$93,"Luis D")+COUNTIF($C$110:$D$115,"Luis D")</f>
        <v>2</v>
      </c>
      <c r="L124" s="41">
        <f t="shared" si="5"/>
        <v>16</v>
      </c>
      <c r="N124">
        <v>3</v>
      </c>
    </row>
    <row r="125" spans="1:16">
      <c r="C125" s="38" t="s">
        <v>11</v>
      </c>
      <c r="D125" s="39">
        <f>COUNTIF($C$8:$I$12,"Julio")-COUNTIF($C$14:$I$19,"Julio")+COUNTIF($C$33:$I$37,"Julio")-COUNTIF($C$38:$I$42,"Julio")+COUNTIF($C$54:$E$58,"Julio")-COUNTIF($C$59:$E$63,"Julio")</f>
        <v>10</v>
      </c>
      <c r="E125" s="39">
        <f>COUNTIF($C$20:$I$24,"Julio")-COUNTIF($C$25:$I$30,"Julio")+COUNTIF($C$43:$I$47,"Julio")-COUNTIF($C$48:$I$51,"Julio")+COUNTIF($C$64:$E$68,"Julio")-COUNTIF($C$69:$E$72,"Julio")</f>
        <v>7</v>
      </c>
      <c r="F125" s="39">
        <f>+COUNTIF($C$14:$I$19,"Julio")+COUNTIF($C$38:$I$42,"Julio")+COUNTIF($C$59:$E$63,"Julio")+COUNTIF($C$25:$I$30,"Julio")+COUNTIF($C$48:$I$51,"Julio")+COUNTIF($C$69:$E$72,"Julio")</f>
        <v>2</v>
      </c>
      <c r="G125" s="40">
        <f t="shared" si="6"/>
        <v>19</v>
      </c>
      <c r="H125" s="38" t="s">
        <v>11</v>
      </c>
      <c r="I125" s="39">
        <f>COUNTIF($C$54:$I$58,"Julio")-COUNTIF($C$59:$I$63,"Julio")+COUNTIF($C$75:$I$79,"Julio")-COUNTIF($C$80:$I$83,"Julio")+COUNTIF($C$96:$D$100,"Julio")-COUNTIF($C$101:$D$104,"Julio")</f>
        <v>12</v>
      </c>
      <c r="J125" s="39">
        <f>COUNTIF($C$64:$I$68,"Julio")-COUNTIF($C$69:$I$72,"Julio")+COUNTIF($C$84:$I$88,"Julio")-COUNTIF($C$89:$I$93,"Julio")+COUNTIF($C$105:$D$109,"Julio")-COUNTIF($C$110:$D$115,"Julio")</f>
        <v>3</v>
      </c>
      <c r="K125" s="39">
        <f>COUNTIF($C$59:$I$63,"Julio")+COUNTIF($C$80:$I$83,"Julio")+COUNTIF($C$101:$D$104,"Julio")+COUNTIF($C$69:$I$72,"Julio")+COUNTIF($C$89:$I$93,"Julio")+COUNTIF($C$110:$D$115,"Julio")</f>
        <v>2</v>
      </c>
      <c r="L125" s="40">
        <f>+K125+J125+I125</f>
        <v>17</v>
      </c>
      <c r="N125">
        <v>3</v>
      </c>
    </row>
    <row r="126" spans="1:16">
      <c r="C126" t="s">
        <v>8</v>
      </c>
      <c r="D126" s="39">
        <f>COUNTIF($C$8:$I$12,"Joel")-COUNTIF($C$14:$I$19,"Joel")+COUNTIF($C$33:$I$37,"Joel")-COUNTIF($C$38:$I$42,"Joel")+COUNTIF($C$54:$E$58,"Joel")-COUNTIF($C$59:$E$63,"Joel")</f>
        <v>11</v>
      </c>
      <c r="E126" s="39">
        <f>COUNTIF($C$20:$I$24,"Joel")-COUNTIF($C$25:$I$30,"Joel")+COUNTIF($C$43:$I$47,"Joel")-COUNTIF($C$48:$I$51,"Joel")+COUNTIF($C$64:$E$68,"Joel")-COUNTIF($C$69:$E$72,"Joel")</f>
        <v>3</v>
      </c>
      <c r="F126" s="39">
        <f>+COUNTIF($C$14:$I$19,"Joel")+COUNTIF($C$38:$I$42,"Joel")+COUNTIF($C$59:$E$63,"Joel")+COUNTIF($C$25:$I$30,"Joel")+COUNTIF($C$48:$I$51,"Joel")+COUNTIF($C$69:$E$72,"Joel")</f>
        <v>3</v>
      </c>
      <c r="G126" s="40">
        <f t="shared" si="6"/>
        <v>17</v>
      </c>
      <c r="H126" t="s">
        <v>8</v>
      </c>
      <c r="I126" s="39">
        <f>COUNTIF($C$54:$I$58,"Joel")-COUNTIF($C$59:$I$63,"Joel")+COUNTIF($C$75:$I$79,"Joel")-COUNTIF($C$80:$I$83,"Joel")+COUNTIF($C$96:$D$100,"Joel")-COUNTIF($C$101:$D$104,"Joel")</f>
        <v>14</v>
      </c>
      <c r="J126" s="39">
        <f>COUNTIF($C$64:$I$68,"Joel")-COUNTIF($C$69:$I$72,"Joel")+COUNTIF($C$84:$I$88,"Joel")-COUNTIF($C$89:$I$93,"Joel")+COUNTIF($C$105:$D$109,"Joel")-COUNTIF($C$110:$D$115,"Joel")</f>
        <v>0</v>
      </c>
      <c r="K126" s="39">
        <f>COUNTIF($C$59:$I$63,"Joel")+COUNTIF($C$80:$I$83,"Joel")+COUNTIF($C$101:$D$104,"Joel")+COUNTIF($C$69:$I$72,"Joel")+COUNTIF($C$89:$I$93,"Joel")+COUNTIF($C$110:$D$115,"Joel")</f>
        <v>2</v>
      </c>
      <c r="L126" s="41">
        <f t="shared" si="5"/>
        <v>16</v>
      </c>
      <c r="N126">
        <v>3</v>
      </c>
    </row>
    <row r="127" spans="1:16">
      <c r="C127" s="38" t="s">
        <v>6</v>
      </c>
      <c r="D127" s="39">
        <f>COUNTIF($C$8:$I$12,"Jose")-COUNTIF($C$14:$I$19,"Jose")+COUNTIF($C$33:$I$37,"Jose")-COUNTIF($C$38:$I$42,"Jose")+COUNTIF($C$54:$E$58,"Jose")-COUNTIF($C$59:$E$63,"Jose")</f>
        <v>5</v>
      </c>
      <c r="E127" s="39">
        <f>COUNTIF($C$20:$I$24,"Jose")-COUNTIF($C$25:$I$30,"Jose")+COUNTIF($C$43:$I$47,"Jose")-COUNTIF($C$48:$I$51,"Jose")+COUNTIF($C$64:$E$68,"Jose")-COUNTIF($C$69:$E$72,"Jose")</f>
        <v>10</v>
      </c>
      <c r="F127" s="39">
        <f>+COUNTIF($C$14:$I$19,"Jose")+COUNTIF($C$38:$I$42,"Jose")+COUNTIF($C$59:$E$63,"Jose")+COUNTIF($C$25:$I$30,"Jose")+COUNTIF($C$48:$I$51,"Jose")+COUNTIF($C$69:$E$72,"Jose")</f>
        <v>2</v>
      </c>
      <c r="G127" s="40">
        <f t="shared" si="6"/>
        <v>17</v>
      </c>
      <c r="H127" s="38" t="s">
        <v>6</v>
      </c>
      <c r="I127" s="39">
        <f>COUNTIF($C$54:$I$58,"Jose")-COUNTIF($C$59:$I$63,"Jose")+COUNTIF($C$75:$I$79,"Jose")-COUNTIF($C$80:$I$83,"Jose")+COUNTIF($C$96:$D$100,"Jose")-COUNTIF($C$101:$D$104,"Jose")</f>
        <v>0</v>
      </c>
      <c r="J127" s="39">
        <f>COUNTIF($C$64:$I$68,"Jose")-COUNTIF($C$69:$I$72,"Jose")+COUNTIF($C$84:$I$88,"Jose")-COUNTIF($C$89:$I$93,"Jose")+COUNTIF($C$105:$D$109,"Jose")-COUNTIF($C$110:$D$115,"Jose")</f>
        <v>15</v>
      </c>
      <c r="K127" s="39">
        <f>COUNTIF($C$59:$I$63,"Jose")+COUNTIF($C$80:$I$83,"Jose")+COUNTIF($C$101:$D$104,"Jose")+COUNTIF($C$69:$I$72,"Jose")+COUNTIF($C$89:$I$93,"Jose")+COUNTIF($C$110:$D$115,"Jose")</f>
        <v>2</v>
      </c>
      <c r="L127" s="40">
        <f t="shared" si="5"/>
        <v>17</v>
      </c>
      <c r="N127">
        <v>3</v>
      </c>
    </row>
    <row r="128" spans="1:16">
      <c r="C128" t="s">
        <v>14</v>
      </c>
      <c r="D128" s="39">
        <f>COUNTIF($C$8:$I$12,"Lester")-COUNTIF($C$14:$I$19,"Lester")+COUNTIF($C$33:$I$37,"Lester")-COUNTIF($C$38:$I$42,"Lester")+COUNTIF($C$54:$E$58,"Lester")-COUNTIF($C$59:$E$63,"Lester")</f>
        <v>10</v>
      </c>
      <c r="E128" s="39">
        <f>COUNTIF($C$20:$I$24,"Lester")-COUNTIF($C$25:$I$30,"Lester")+COUNTIF($C$43:$I$47,"Lester")-COUNTIF($C$48:$I$51,"Lester")+COUNTIF($C$64:$E$68,"Lester")-COUNTIF($C$69:$E$72,"Lester")</f>
        <v>11</v>
      </c>
      <c r="F128" s="39">
        <f>+COUNTIF($C$14:$I$19,"Lester")+COUNTIF($C$38:$I$42,"Lester")+COUNTIF($C$59:$E$63,"Lester")+COUNTIF($C$25:$I$30,"Lester")+COUNTIF($C$48:$I$51,"Lester")+COUNTIF($C$69:$E$72,"Lester")</f>
        <v>4</v>
      </c>
      <c r="G128" s="40">
        <f t="shared" si="6"/>
        <v>25</v>
      </c>
      <c r="H128" t="s">
        <v>14</v>
      </c>
      <c r="I128" s="39">
        <f>COUNTIF($C$54:$I$58,"Lester")-COUNTIF($C$59:$I$63,"Lester")+COUNTIF($C$75:$I$79,"Lester")-COUNTIF($C$80:$I$83,"Lester")+COUNTIF($C$96:$D$100,"Lester")-COUNTIF($C$101:$D$104,"Lester")</f>
        <v>6</v>
      </c>
      <c r="J128" s="39">
        <f>COUNTIF($C$64:$I$68,"Lester")-COUNTIF($C$69:$I$72,"Lester")+COUNTIF($C$84:$I$88,"Lester")-COUNTIF($C$89:$I$93,"Lester")+COUNTIF($C$105:$D$109,"Lester")-COUNTIF($C$110:$D$115,"Lester")</f>
        <v>14</v>
      </c>
      <c r="K128" s="39">
        <f>COUNTIF($C$59:$I$63,"Lester")+COUNTIF($C$80:$I$83,"Lester")+COUNTIF($C$101:$D$104,"Lester")+COUNTIF($C$69:$I$72,"Lester")+COUNTIF($C$89:$I$93,"Lester")+COUNTIF($C$110:$D$115,"Lester")</f>
        <v>1</v>
      </c>
      <c r="L128" s="41">
        <f t="shared" si="5"/>
        <v>21</v>
      </c>
    </row>
    <row r="129" spans="3:12">
      <c r="D129" s="2">
        <f>SUM(D121:D128)</f>
        <v>64</v>
      </c>
      <c r="E129" s="2">
        <f t="shared" ref="E129:G129" si="7">SUM(E121:E128)</f>
        <v>74</v>
      </c>
      <c r="F129" s="2">
        <f t="shared" si="7"/>
        <v>18</v>
      </c>
      <c r="G129" s="2">
        <f t="shared" si="7"/>
        <v>156</v>
      </c>
      <c r="I129" s="2">
        <f t="shared" ref="I129:L129" si="8">SUM(I121:I128)</f>
        <v>57</v>
      </c>
      <c r="J129" s="2">
        <f t="shared" si="8"/>
        <v>70</v>
      </c>
      <c r="K129" s="2">
        <f t="shared" si="8"/>
        <v>18</v>
      </c>
      <c r="L129" s="2">
        <f t="shared" si="8"/>
        <v>145</v>
      </c>
    </row>
    <row r="134" spans="3:12">
      <c r="C134" t="s">
        <v>36</v>
      </c>
      <c r="E134">
        <f>+F129+K129</f>
        <v>36</v>
      </c>
    </row>
    <row r="136" spans="3:12">
      <c r="C136" t="s">
        <v>37</v>
      </c>
      <c r="E136">
        <f>7*28</f>
        <v>196</v>
      </c>
    </row>
  </sheetData>
  <mergeCells count="28">
    <mergeCell ref="C119:G119"/>
    <mergeCell ref="I119:M119"/>
    <mergeCell ref="A74:A93"/>
    <mergeCell ref="B75:B79"/>
    <mergeCell ref="B84:B88"/>
    <mergeCell ref="B89:B90"/>
    <mergeCell ref="B91:B92"/>
    <mergeCell ref="A95:A115"/>
    <mergeCell ref="B96:B100"/>
    <mergeCell ref="B105:B109"/>
    <mergeCell ref="B110:B112"/>
    <mergeCell ref="B113:B114"/>
    <mergeCell ref="A32:A51"/>
    <mergeCell ref="B33:B37"/>
    <mergeCell ref="B40:B41"/>
    <mergeCell ref="B43:B47"/>
    <mergeCell ref="B48:B49"/>
    <mergeCell ref="A53:A72"/>
    <mergeCell ref="B54:B58"/>
    <mergeCell ref="B61:B62"/>
    <mergeCell ref="B64:B68"/>
    <mergeCell ref="B69:B70"/>
    <mergeCell ref="B2:I2"/>
    <mergeCell ref="B3:I3"/>
    <mergeCell ref="A7:A30"/>
    <mergeCell ref="B8:B12"/>
    <mergeCell ref="B20:B24"/>
    <mergeCell ref="B25:B27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0233-8202-204E-B542-387000A648CF}">
  <sheetPr>
    <pageSetUpPr fitToPage="1"/>
  </sheetPr>
  <dimension ref="A2:T159"/>
  <sheetViews>
    <sheetView showGridLines="0" workbookViewId="0">
      <selection activeCell="A32" sqref="A1:XFD1048576"/>
    </sheetView>
  </sheetViews>
  <sheetFormatPr baseColWidth="10" defaultColWidth="9.125" defaultRowHeight="15.75" outlineLevelCol="1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12.625" customWidth="1"/>
    <col min="18" max="18" width="8.125" bestFit="1" customWidth="1"/>
    <col min="19" max="19" width="10.5" bestFit="1" customWidth="1"/>
    <col min="21" max="24" width="6.5" customWidth="1"/>
  </cols>
  <sheetData>
    <row r="2" spans="1:18" ht="21" customHeight="1">
      <c r="B2" s="141" t="s">
        <v>0</v>
      </c>
      <c r="C2" s="141"/>
      <c r="D2" s="141"/>
      <c r="E2" s="141"/>
      <c r="F2" s="141"/>
      <c r="G2" s="141"/>
      <c r="H2" s="141"/>
      <c r="I2" s="141"/>
      <c r="K2" s="1"/>
    </row>
    <row r="3" spans="1:18" ht="18.75" customHeight="1">
      <c r="B3" s="142" t="s">
        <v>38</v>
      </c>
      <c r="C3" s="142"/>
      <c r="D3" s="142"/>
      <c r="E3" s="142"/>
      <c r="F3" s="142"/>
      <c r="G3" s="142"/>
      <c r="H3" s="142"/>
      <c r="I3" s="142"/>
      <c r="K3" s="1"/>
    </row>
    <row r="4" spans="1:18">
      <c r="O4" s="2"/>
    </row>
    <row r="5" spans="1:18" ht="18.75">
      <c r="B5" s="3" t="s">
        <v>1</v>
      </c>
      <c r="N5" t="s">
        <v>39</v>
      </c>
    </row>
    <row r="6" spans="1:18" ht="18.75" hidden="1">
      <c r="B6" s="3"/>
    </row>
    <row r="7" spans="1:18" hidden="1">
      <c r="L7" s="4"/>
      <c r="N7" s="5" t="s">
        <v>40</v>
      </c>
      <c r="O7" s="5" t="s">
        <v>41</v>
      </c>
      <c r="P7" s="4" t="s">
        <v>42</v>
      </c>
      <c r="Q7" t="s">
        <v>43</v>
      </c>
      <c r="R7" s="42">
        <v>46143</v>
      </c>
    </row>
    <row r="8" spans="1:18" hidden="1">
      <c r="A8" s="143" t="s">
        <v>2</v>
      </c>
      <c r="B8" s="6" t="s">
        <v>3</v>
      </c>
      <c r="C8" s="6" t="s">
        <v>142</v>
      </c>
      <c r="D8" s="6" t="s">
        <v>143</v>
      </c>
      <c r="E8" s="6" t="s">
        <v>23</v>
      </c>
      <c r="F8" s="43" t="s">
        <v>24</v>
      </c>
      <c r="G8" s="43" t="s">
        <v>25</v>
      </c>
      <c r="H8" s="43" t="s">
        <v>44</v>
      </c>
      <c r="I8" s="6" t="s">
        <v>26</v>
      </c>
      <c r="L8" s="4"/>
      <c r="M8" s="7" t="s">
        <v>4</v>
      </c>
      <c r="N8" s="8"/>
      <c r="O8" s="8"/>
      <c r="P8" s="4"/>
      <c r="Q8" s="4"/>
    </row>
    <row r="9" spans="1:18" hidden="1">
      <c r="A9" s="143"/>
      <c r="B9" s="138" t="s">
        <v>5</v>
      </c>
      <c r="C9" s="9"/>
      <c r="D9" s="9"/>
      <c r="E9" s="9" t="s">
        <v>6</v>
      </c>
      <c r="F9" s="9" t="s">
        <v>6</v>
      </c>
      <c r="G9" s="10" t="s">
        <v>6</v>
      </c>
      <c r="H9" s="10" t="s">
        <v>6</v>
      </c>
      <c r="I9" s="10" t="s">
        <v>6</v>
      </c>
      <c r="K9" s="11"/>
      <c r="L9" s="11"/>
      <c r="M9" t="s">
        <v>7</v>
      </c>
      <c r="N9" s="12">
        <v>46101</v>
      </c>
      <c r="O9" s="12"/>
      <c r="P9" s="4"/>
      <c r="Q9" s="4"/>
    </row>
    <row r="10" spans="1:18" hidden="1">
      <c r="A10" s="143"/>
      <c r="B10" s="139"/>
      <c r="C10" s="9"/>
      <c r="D10" s="10"/>
      <c r="E10" s="10" t="s">
        <v>7</v>
      </c>
      <c r="F10" s="10" t="s">
        <v>7</v>
      </c>
      <c r="G10" s="10" t="s">
        <v>7</v>
      </c>
      <c r="H10" s="9" t="s">
        <v>9</v>
      </c>
      <c r="I10" s="9" t="s">
        <v>9</v>
      </c>
      <c r="K10" s="11"/>
      <c r="L10" s="11"/>
      <c r="M10" s="7" t="s">
        <v>10</v>
      </c>
      <c r="N10" s="13">
        <v>46095</v>
      </c>
      <c r="O10" s="13">
        <v>46122</v>
      </c>
      <c r="P10" s="44">
        <v>46143</v>
      </c>
      <c r="Q10" s="4"/>
    </row>
    <row r="11" spans="1:18" hidden="1">
      <c r="A11" s="143"/>
      <c r="B11" s="139"/>
      <c r="C11" s="10"/>
      <c r="D11" s="10"/>
      <c r="E11" s="9" t="s">
        <v>9</v>
      </c>
      <c r="F11" s="9" t="s">
        <v>9</v>
      </c>
      <c r="G11" s="9" t="s">
        <v>9</v>
      </c>
      <c r="H11" s="9" t="s">
        <v>8</v>
      </c>
      <c r="I11" s="9" t="s">
        <v>8</v>
      </c>
      <c r="K11" s="11"/>
      <c r="L11" s="11"/>
      <c r="M11" t="s">
        <v>9</v>
      </c>
      <c r="N11" s="14">
        <v>46094</v>
      </c>
      <c r="O11" s="14">
        <v>46123</v>
      </c>
      <c r="P11" s="44">
        <v>46137</v>
      </c>
      <c r="Q11" s="4"/>
    </row>
    <row r="12" spans="1:18" hidden="1">
      <c r="A12" s="143"/>
      <c r="B12" s="139"/>
      <c r="C12" s="9"/>
      <c r="D12" s="9"/>
      <c r="E12" s="10" t="s">
        <v>11</v>
      </c>
      <c r="F12" s="10" t="s">
        <v>8</v>
      </c>
      <c r="G12" s="10" t="s">
        <v>8</v>
      </c>
      <c r="H12" s="9"/>
      <c r="I12" s="9"/>
      <c r="K12" s="11"/>
      <c r="L12" s="11"/>
      <c r="M12" s="7" t="s">
        <v>11</v>
      </c>
      <c r="N12" s="13">
        <v>46102</v>
      </c>
      <c r="O12" s="13">
        <v>46136</v>
      </c>
      <c r="P12" s="4"/>
      <c r="Q12" s="4"/>
    </row>
    <row r="13" spans="1:18" hidden="1">
      <c r="A13" s="143"/>
      <c r="B13" s="140"/>
      <c r="C13" s="9"/>
      <c r="D13" s="9"/>
      <c r="E13" s="9" t="s">
        <v>14</v>
      </c>
      <c r="F13" s="9" t="s">
        <v>14</v>
      </c>
      <c r="G13" s="9" t="s">
        <v>14</v>
      </c>
      <c r="H13" s="9"/>
      <c r="I13" s="9"/>
      <c r="K13" s="11"/>
      <c r="L13" s="11"/>
      <c r="M13" t="s">
        <v>8</v>
      </c>
      <c r="N13" s="14">
        <v>46108</v>
      </c>
      <c r="O13" s="14">
        <v>46129</v>
      </c>
      <c r="P13" s="44">
        <v>46115</v>
      </c>
      <c r="Q13" s="4"/>
    </row>
    <row r="14" spans="1:18" hidden="1">
      <c r="A14" s="143"/>
      <c r="B14" s="18" t="s">
        <v>12</v>
      </c>
      <c r="C14" s="19"/>
      <c r="D14" s="20"/>
      <c r="E14" s="20" t="s">
        <v>11</v>
      </c>
      <c r="F14" s="20" t="s">
        <v>8</v>
      </c>
      <c r="G14" s="21"/>
      <c r="H14" s="19"/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</row>
    <row r="15" spans="1:18" hidden="1">
      <c r="A15" s="143"/>
      <c r="B15" s="18"/>
      <c r="C15" s="19"/>
      <c r="D15" s="19"/>
      <c r="E15" s="19"/>
      <c r="F15" s="19"/>
      <c r="G15" s="19"/>
      <c r="H15" s="19"/>
      <c r="I15" s="19"/>
      <c r="M15" s="7"/>
      <c r="N15" s="13"/>
      <c r="O15" s="13"/>
      <c r="P15" s="4"/>
      <c r="Q15" s="4"/>
    </row>
    <row r="16" spans="1:18" hidden="1">
      <c r="A16" s="143"/>
      <c r="B16" s="18"/>
      <c r="C16" s="19"/>
      <c r="D16" s="19"/>
      <c r="E16" s="23"/>
      <c r="F16" s="19"/>
      <c r="I16" s="19"/>
      <c r="M16" t="s">
        <v>14</v>
      </c>
      <c r="N16" s="12">
        <v>46109</v>
      </c>
      <c r="O16" s="12">
        <v>46110</v>
      </c>
      <c r="P16" s="44">
        <v>46116</v>
      </c>
      <c r="Q16" s="4"/>
    </row>
    <row r="17" spans="1:20" hidden="1">
      <c r="A17" s="143"/>
      <c r="B17" s="22" t="s">
        <v>15</v>
      </c>
      <c r="C17" s="19"/>
      <c r="D17" s="19"/>
      <c r="E17" s="23"/>
      <c r="F17" s="23"/>
      <c r="G17" s="22" t="s">
        <v>6</v>
      </c>
      <c r="H17" s="22" t="s">
        <v>6</v>
      </c>
      <c r="I17" s="19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</row>
    <row r="18" spans="1:20" hidden="1">
      <c r="A18" s="143"/>
      <c r="B18" s="22"/>
      <c r="C18" s="9"/>
      <c r="D18" s="9"/>
      <c r="E18" s="9"/>
      <c r="F18" s="9"/>
      <c r="G18" s="22" t="s">
        <v>8</v>
      </c>
      <c r="H18" s="23"/>
      <c r="I18" s="117"/>
      <c r="M18" s="7"/>
      <c r="N18" s="24"/>
      <c r="O18" s="24"/>
      <c r="P18" s="4"/>
      <c r="Q18" s="4"/>
    </row>
    <row r="19" spans="1:20" hidden="1">
      <c r="A19" s="143"/>
      <c r="B19" s="25" t="s">
        <v>17</v>
      </c>
      <c r="C19" s="10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20" hidden="1">
      <c r="A20" s="143"/>
      <c r="B20" s="138" t="s">
        <v>18</v>
      </c>
      <c r="C20" s="9"/>
      <c r="D20" s="9"/>
      <c r="E20" s="9" t="s">
        <v>16</v>
      </c>
      <c r="F20" s="9" t="s">
        <v>16</v>
      </c>
      <c r="G20" s="10" t="s">
        <v>16</v>
      </c>
      <c r="H20" s="10" t="s">
        <v>16</v>
      </c>
      <c r="I20" s="117" t="s">
        <v>16</v>
      </c>
      <c r="L20" s="11"/>
    </row>
    <row r="21" spans="1:20" hidden="1">
      <c r="A21" s="143"/>
      <c r="B21" s="139"/>
      <c r="C21" s="9"/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L21" s="11"/>
    </row>
    <row r="22" spans="1:20" hidden="1">
      <c r="A22" s="143"/>
      <c r="B22" s="139"/>
      <c r="C22" s="9"/>
      <c r="D22" s="9"/>
      <c r="E22" s="9" t="s">
        <v>8</v>
      </c>
      <c r="F22" s="9" t="s">
        <v>11</v>
      </c>
      <c r="G22" s="9" t="s">
        <v>11</v>
      </c>
      <c r="H22" s="9" t="s">
        <v>11</v>
      </c>
      <c r="I22" s="9" t="s">
        <v>11</v>
      </c>
      <c r="K22" s="26"/>
      <c r="L22" s="11"/>
    </row>
    <row r="23" spans="1:20" hidden="1">
      <c r="A23" s="143"/>
      <c r="B23" s="139"/>
      <c r="C23" s="27"/>
      <c r="D23" s="27"/>
      <c r="E23" s="9"/>
      <c r="F23" s="9"/>
      <c r="G23" s="9"/>
      <c r="H23" s="118" t="s">
        <v>7</v>
      </c>
      <c r="I23" s="118" t="s">
        <v>7</v>
      </c>
      <c r="K23" s="26"/>
      <c r="L23" s="11"/>
    </row>
    <row r="24" spans="1:20" hidden="1">
      <c r="A24" s="143"/>
      <c r="B24" s="140"/>
      <c r="C24" s="27"/>
      <c r="D24" s="27"/>
      <c r="E24" s="9"/>
      <c r="F24" s="9"/>
      <c r="G24" s="9"/>
      <c r="H24" s="10" t="s">
        <v>14</v>
      </c>
      <c r="I24" s="10" t="s">
        <v>14</v>
      </c>
      <c r="K24" s="26"/>
      <c r="L24" s="11"/>
    </row>
    <row r="25" spans="1:20" hidden="1">
      <c r="A25" s="143"/>
      <c r="B25" s="144" t="s">
        <v>12</v>
      </c>
      <c r="C25" s="28"/>
      <c r="D25" s="27"/>
      <c r="E25" s="27"/>
      <c r="F25" s="27"/>
      <c r="G25" s="27"/>
      <c r="H25" s="29"/>
      <c r="I25" s="20" t="s">
        <v>16</v>
      </c>
      <c r="K25" s="26"/>
    </row>
    <row r="26" spans="1:20" hidden="1">
      <c r="A26" s="143"/>
      <c r="B26" s="145"/>
      <c r="C26" s="28"/>
      <c r="D26" s="27"/>
      <c r="E26" s="27"/>
      <c r="F26" s="27"/>
      <c r="G26" s="27"/>
      <c r="H26" s="29"/>
      <c r="I26" s="119" t="s">
        <v>7</v>
      </c>
      <c r="K26" s="26"/>
    </row>
    <row r="27" spans="1:20" hidden="1">
      <c r="A27" s="143"/>
      <c r="B27" s="146"/>
      <c r="C27" s="19"/>
      <c r="D27" s="30"/>
      <c r="E27" s="27"/>
      <c r="F27" s="27"/>
      <c r="G27" s="27"/>
      <c r="H27" s="29"/>
      <c r="I27" s="20" t="s">
        <v>14</v>
      </c>
      <c r="K27" s="26"/>
    </row>
    <row r="28" spans="1:20" hidden="1">
      <c r="A28" s="143"/>
      <c r="B28" s="22" t="s">
        <v>15</v>
      </c>
      <c r="C28" s="19"/>
      <c r="D28" s="30"/>
      <c r="E28" s="27"/>
      <c r="F28" s="19"/>
      <c r="G28" s="22" t="s">
        <v>16</v>
      </c>
      <c r="H28" s="22" t="s">
        <v>16</v>
      </c>
      <c r="I28" s="33"/>
      <c r="K28" s="26"/>
    </row>
    <row r="29" spans="1:20" hidden="1">
      <c r="A29" s="143"/>
      <c r="B29" s="22"/>
      <c r="C29" s="19"/>
      <c r="D29" s="30"/>
      <c r="E29" s="27"/>
      <c r="F29" s="19"/>
      <c r="G29" s="23"/>
      <c r="H29" s="22" t="s">
        <v>14</v>
      </c>
      <c r="I29" s="33"/>
      <c r="K29" s="26"/>
    </row>
    <row r="30" spans="1:20" hidden="1">
      <c r="A30" s="143"/>
      <c r="B30" s="25" t="s">
        <v>17</v>
      </c>
      <c r="C30" s="19"/>
      <c r="D30" s="30"/>
      <c r="E30" s="27"/>
      <c r="F30" s="19"/>
      <c r="G30" s="23"/>
      <c r="H30" s="19"/>
      <c r="I30" s="33"/>
      <c r="K30" s="26"/>
    </row>
    <row r="31" spans="1:20">
      <c r="B31" s="4"/>
      <c r="C31" s="15">
        <f t="shared" ref="C31:H31" si="0">COUNTA(C9:C13,C20:C24)</f>
        <v>0</v>
      </c>
      <c r="D31" s="15">
        <f t="shared" si="0"/>
        <v>0</v>
      </c>
      <c r="E31" s="15">
        <f t="shared" si="0"/>
        <v>8</v>
      </c>
      <c r="F31" s="15">
        <f t="shared" si="0"/>
        <v>8</v>
      </c>
      <c r="G31" s="15">
        <f t="shared" si="0"/>
        <v>8</v>
      </c>
      <c r="H31" s="15">
        <f t="shared" si="0"/>
        <v>8</v>
      </c>
      <c r="I31" s="15">
        <f>COUNTA(I9:I13,I20:I26)</f>
        <v>10</v>
      </c>
      <c r="K31" s="26"/>
      <c r="O31" t="s">
        <v>39</v>
      </c>
    </row>
    <row r="32" spans="1:20" ht="15.95" customHeight="1">
      <c r="A32" s="127" t="s">
        <v>2</v>
      </c>
      <c r="B32" s="6" t="s">
        <v>3</v>
      </c>
      <c r="C32" s="6" t="s">
        <v>49</v>
      </c>
      <c r="D32" s="6" t="s">
        <v>48</v>
      </c>
      <c r="E32" s="6" t="s">
        <v>47</v>
      </c>
      <c r="F32" s="6" t="s">
        <v>50</v>
      </c>
      <c r="G32" s="6" t="s">
        <v>51</v>
      </c>
      <c r="H32" s="6" t="s">
        <v>82</v>
      </c>
      <c r="I32" s="6" t="s">
        <v>83</v>
      </c>
      <c r="K32" s="26"/>
      <c r="O32" s="55" t="s">
        <v>40</v>
      </c>
      <c r="P32" s="55" t="s">
        <v>41</v>
      </c>
      <c r="Q32" s="4" t="s">
        <v>42</v>
      </c>
      <c r="R32" s="4" t="s">
        <v>43</v>
      </c>
      <c r="S32" s="44">
        <v>46143</v>
      </c>
      <c r="T32" t="s">
        <v>45</v>
      </c>
    </row>
    <row r="33" spans="1:20">
      <c r="A33" s="127"/>
      <c r="B33" s="138" t="s">
        <v>5</v>
      </c>
      <c r="C33" s="9" t="s">
        <v>9</v>
      </c>
      <c r="D33" s="9" t="s">
        <v>9</v>
      </c>
      <c r="E33" s="9" t="s">
        <v>9</v>
      </c>
      <c r="F33" s="9" t="s">
        <v>9</v>
      </c>
      <c r="G33" s="9" t="s">
        <v>9</v>
      </c>
      <c r="H33" s="58" t="s">
        <v>9</v>
      </c>
      <c r="I33" s="58" t="s">
        <v>9</v>
      </c>
      <c r="K33" s="26"/>
      <c r="N33" s="7" t="s">
        <v>4</v>
      </c>
      <c r="O33" s="8"/>
      <c r="P33" s="8"/>
      <c r="Q33" s="4"/>
      <c r="R33" s="4"/>
      <c r="T33">
        <v>0</v>
      </c>
    </row>
    <row r="34" spans="1:20">
      <c r="A34" s="127"/>
      <c r="B34" s="139"/>
      <c r="C34" s="9" t="s">
        <v>10</v>
      </c>
      <c r="D34" s="9" t="s">
        <v>8</v>
      </c>
      <c r="E34" s="9" t="s">
        <v>8</v>
      </c>
      <c r="F34" s="9" t="s">
        <v>8</v>
      </c>
      <c r="G34" s="64" t="s">
        <v>7</v>
      </c>
      <c r="H34" s="58" t="s">
        <v>7</v>
      </c>
      <c r="I34" s="58" t="s">
        <v>7</v>
      </c>
      <c r="K34" s="26"/>
      <c r="N34" t="s">
        <v>7</v>
      </c>
      <c r="O34" s="12">
        <v>46101</v>
      </c>
      <c r="P34" s="12" t="s">
        <v>46</v>
      </c>
      <c r="Q34" s="12" t="s">
        <v>46</v>
      </c>
      <c r="R34" s="12" t="s">
        <v>46</v>
      </c>
      <c r="S34" s="12" t="s">
        <v>46</v>
      </c>
      <c r="T34">
        <v>0</v>
      </c>
    </row>
    <row r="35" spans="1:20">
      <c r="A35" s="127"/>
      <c r="B35" s="139"/>
      <c r="C35" s="9" t="s">
        <v>8</v>
      </c>
      <c r="D35" s="58" t="s">
        <v>7</v>
      </c>
      <c r="E35" s="58" t="s">
        <v>7</v>
      </c>
      <c r="F35" s="58" t="s">
        <v>7</v>
      </c>
      <c r="G35" s="17" t="s">
        <v>10</v>
      </c>
      <c r="H35" s="9" t="s">
        <v>10</v>
      </c>
      <c r="I35" s="9" t="s">
        <v>10</v>
      </c>
      <c r="K35" s="26"/>
      <c r="N35" s="7" t="s">
        <v>10</v>
      </c>
      <c r="O35" s="13">
        <v>46095</v>
      </c>
      <c r="P35" s="13">
        <v>46122</v>
      </c>
      <c r="Q35" s="44">
        <v>46143</v>
      </c>
      <c r="R35" s="44">
        <v>46151</v>
      </c>
      <c r="S35" s="42"/>
      <c r="T35">
        <v>1</v>
      </c>
    </row>
    <row r="36" spans="1:20">
      <c r="A36" s="127"/>
      <c r="B36" s="139"/>
      <c r="C36" s="9"/>
      <c r="D36" s="9" t="s">
        <v>10</v>
      </c>
      <c r="E36" s="58" t="s">
        <v>14</v>
      </c>
      <c r="F36" s="58" t="s">
        <v>10</v>
      </c>
      <c r="G36" s="17" t="s">
        <v>8</v>
      </c>
      <c r="H36" s="9" t="s">
        <v>16</v>
      </c>
      <c r="I36" s="9" t="s">
        <v>16</v>
      </c>
      <c r="K36" s="26"/>
      <c r="N36" t="s">
        <v>9</v>
      </c>
      <c r="O36" s="14">
        <v>46094</v>
      </c>
      <c r="P36" s="14">
        <v>46123</v>
      </c>
      <c r="Q36" s="44">
        <v>46137</v>
      </c>
      <c r="R36" s="44">
        <v>46171</v>
      </c>
      <c r="T36">
        <v>1</v>
      </c>
    </row>
    <row r="37" spans="1:20">
      <c r="A37" s="127"/>
      <c r="B37" s="140"/>
      <c r="C37" s="9"/>
      <c r="D37" s="58" t="s">
        <v>16</v>
      </c>
      <c r="E37" s="9" t="s">
        <v>16</v>
      </c>
      <c r="F37" s="9" t="s">
        <v>16</v>
      </c>
      <c r="G37" s="9" t="s">
        <v>16</v>
      </c>
      <c r="H37" s="9" t="s">
        <v>8</v>
      </c>
      <c r="I37" s="9"/>
      <c r="K37" s="26"/>
      <c r="N37" s="7" t="s">
        <v>11</v>
      </c>
      <c r="O37" s="13">
        <v>46102</v>
      </c>
      <c r="P37" s="13">
        <v>46136</v>
      </c>
      <c r="Q37" s="44">
        <v>46150</v>
      </c>
      <c r="R37" s="44">
        <v>46164</v>
      </c>
      <c r="S37" s="42">
        <v>46165</v>
      </c>
      <c r="T37">
        <v>0</v>
      </c>
    </row>
    <row r="38" spans="1:20">
      <c r="A38" s="127"/>
      <c r="B38" s="18" t="s">
        <v>12</v>
      </c>
      <c r="C38" s="19"/>
      <c r="D38" s="20" t="s">
        <v>16</v>
      </c>
      <c r="E38" s="20" t="s">
        <v>14</v>
      </c>
      <c r="F38" s="20" t="s">
        <v>10</v>
      </c>
      <c r="G38" s="21"/>
      <c r="H38" s="19"/>
      <c r="I38" s="20" t="s">
        <v>9</v>
      </c>
      <c r="K38" s="26"/>
      <c r="N38" t="s">
        <v>8</v>
      </c>
      <c r="O38" s="14">
        <v>46108</v>
      </c>
      <c r="P38" s="14">
        <v>46129</v>
      </c>
      <c r="Q38" s="44">
        <v>46115</v>
      </c>
      <c r="R38" s="44">
        <v>46158</v>
      </c>
      <c r="T38">
        <v>1</v>
      </c>
    </row>
    <row r="39" spans="1:20">
      <c r="A39" s="127"/>
      <c r="B39" s="31"/>
      <c r="C39" s="19"/>
      <c r="D39" s="19"/>
      <c r="E39" s="19"/>
      <c r="F39" s="19"/>
      <c r="G39" s="19"/>
      <c r="H39" s="19"/>
      <c r="I39" s="19"/>
      <c r="K39" s="26"/>
      <c r="N39" s="7" t="s">
        <v>13</v>
      </c>
      <c r="O39" s="13">
        <v>46084</v>
      </c>
      <c r="P39" s="13">
        <v>46115</v>
      </c>
      <c r="Q39" s="44">
        <v>46130</v>
      </c>
      <c r="R39" s="44">
        <v>46116</v>
      </c>
      <c r="S39" s="42">
        <v>46172</v>
      </c>
      <c r="T39">
        <v>0</v>
      </c>
    </row>
    <row r="40" spans="1:20">
      <c r="A40" s="127"/>
      <c r="B40" s="136" t="s">
        <v>15</v>
      </c>
      <c r="C40" s="19"/>
      <c r="D40" s="19"/>
      <c r="E40" s="19"/>
      <c r="F40" s="19"/>
      <c r="G40" s="19"/>
      <c r="H40" s="65" t="s">
        <v>9</v>
      </c>
      <c r="I40" s="19"/>
      <c r="K40" s="26"/>
      <c r="N40" s="7"/>
      <c r="O40" s="13"/>
      <c r="P40" s="13"/>
      <c r="Q40" s="4"/>
      <c r="R40" s="4"/>
    </row>
    <row r="41" spans="1:20">
      <c r="A41" s="127"/>
      <c r="B41" s="137"/>
      <c r="C41" s="19"/>
      <c r="D41" s="19"/>
      <c r="E41" s="19"/>
      <c r="F41" s="19"/>
      <c r="G41" s="19"/>
      <c r="H41" s="19"/>
      <c r="I41" s="19"/>
      <c r="K41" s="26"/>
      <c r="N41" t="s">
        <v>14</v>
      </c>
      <c r="O41" s="12">
        <v>46109</v>
      </c>
      <c r="P41" s="12">
        <v>46110</v>
      </c>
      <c r="Q41" s="44">
        <v>46116</v>
      </c>
      <c r="R41" s="42">
        <v>46157</v>
      </c>
      <c r="S41" s="42"/>
      <c r="T41">
        <v>1</v>
      </c>
    </row>
    <row r="42" spans="1:20">
      <c r="A42" s="127"/>
      <c r="B42" s="25" t="s">
        <v>17</v>
      </c>
      <c r="C42" s="19"/>
      <c r="D42" s="19"/>
      <c r="E42" s="19"/>
      <c r="F42" s="19"/>
      <c r="G42" s="19"/>
      <c r="H42" s="19"/>
      <c r="I42" s="19"/>
      <c r="K42" s="26"/>
      <c r="N42" s="7" t="s">
        <v>16</v>
      </c>
      <c r="O42" s="24">
        <v>46088</v>
      </c>
      <c r="P42" s="24">
        <v>46116</v>
      </c>
      <c r="Q42" s="44">
        <v>46144</v>
      </c>
      <c r="R42" s="44">
        <v>46115</v>
      </c>
      <c r="S42" s="42">
        <v>46137</v>
      </c>
      <c r="T42">
        <v>0</v>
      </c>
    </row>
    <row r="43" spans="1:20">
      <c r="A43" s="127"/>
      <c r="B43" s="128" t="s">
        <v>18</v>
      </c>
      <c r="C43" s="9" t="s">
        <v>11</v>
      </c>
      <c r="D43" s="9" t="s">
        <v>11</v>
      </c>
      <c r="E43" s="9" t="s">
        <v>11</v>
      </c>
      <c r="F43" s="9" t="s">
        <v>11</v>
      </c>
      <c r="G43" s="9" t="s">
        <v>11</v>
      </c>
      <c r="H43" s="9" t="s">
        <v>11</v>
      </c>
      <c r="I43" s="9" t="s">
        <v>6</v>
      </c>
      <c r="K43" s="26"/>
      <c r="N43" s="7"/>
      <c r="O43" s="24"/>
      <c r="P43" s="24"/>
      <c r="Q43" s="4"/>
      <c r="R43" s="4"/>
    </row>
    <row r="44" spans="1:20">
      <c r="A44" s="127"/>
      <c r="B44" s="129"/>
      <c r="C44" s="58" t="s">
        <v>6</v>
      </c>
      <c r="D44" s="9" t="s">
        <v>6</v>
      </c>
      <c r="E44" s="9" t="s">
        <v>6</v>
      </c>
      <c r="F44" s="9" t="s">
        <v>6</v>
      </c>
      <c r="G44" s="9" t="s">
        <v>6</v>
      </c>
      <c r="H44" s="17" t="s">
        <v>6</v>
      </c>
      <c r="I44" s="9" t="s">
        <v>14</v>
      </c>
      <c r="K44" s="26"/>
      <c r="O44" s="4"/>
      <c r="P44" s="4"/>
      <c r="Q44" s="4"/>
      <c r="R44" s="4"/>
    </row>
    <row r="45" spans="1:20">
      <c r="A45" s="127"/>
      <c r="B45" s="129"/>
      <c r="C45" s="9" t="s">
        <v>14</v>
      </c>
      <c r="D45" s="9" t="s">
        <v>14</v>
      </c>
      <c r="E45" s="9" t="s">
        <v>10</v>
      </c>
      <c r="F45" s="9" t="s">
        <v>14</v>
      </c>
      <c r="G45" s="9" t="s">
        <v>14</v>
      </c>
      <c r="H45" s="9" t="s">
        <v>14</v>
      </c>
      <c r="I45" s="58" t="s">
        <v>11</v>
      </c>
      <c r="K45" s="26"/>
    </row>
    <row r="46" spans="1:20">
      <c r="A46" s="127"/>
      <c r="B46" s="129"/>
      <c r="C46" s="58" t="s">
        <v>7</v>
      </c>
      <c r="D46" s="9"/>
      <c r="E46" s="9"/>
      <c r="F46" s="9"/>
      <c r="G46" s="9"/>
      <c r="H46" s="64" t="s">
        <v>8</v>
      </c>
      <c r="I46" s="58" t="s">
        <v>8</v>
      </c>
      <c r="K46" s="26"/>
    </row>
    <row r="47" spans="1:20">
      <c r="A47" s="127"/>
      <c r="B47" s="130"/>
      <c r="C47" s="9" t="s">
        <v>16</v>
      </c>
      <c r="D47" s="9"/>
      <c r="E47" s="9"/>
      <c r="F47" s="9"/>
      <c r="G47" s="9"/>
      <c r="H47" s="9"/>
      <c r="I47" s="9"/>
      <c r="K47" s="26"/>
    </row>
    <row r="48" spans="1:20">
      <c r="A48" s="127"/>
      <c r="B48" s="131" t="s">
        <v>12</v>
      </c>
      <c r="C48" s="18" t="s">
        <v>6</v>
      </c>
      <c r="D48" s="19"/>
      <c r="E48" s="27"/>
      <c r="F48" s="27"/>
      <c r="G48" s="27"/>
      <c r="H48" s="29"/>
      <c r="I48" s="20" t="s">
        <v>11</v>
      </c>
      <c r="K48" s="26"/>
    </row>
    <row r="49" spans="1:18">
      <c r="A49" s="127"/>
      <c r="B49" s="133"/>
      <c r="C49" s="28"/>
      <c r="D49" s="19"/>
      <c r="E49" s="27"/>
      <c r="F49" s="27"/>
      <c r="G49" s="27"/>
      <c r="H49" s="29"/>
      <c r="I49" s="120" t="s">
        <v>8</v>
      </c>
      <c r="K49" s="26"/>
    </row>
    <row r="50" spans="1:18">
      <c r="A50" s="127"/>
      <c r="B50" s="22" t="s">
        <v>15</v>
      </c>
      <c r="C50" s="28"/>
      <c r="D50" s="28"/>
      <c r="E50" s="28"/>
      <c r="F50" s="28"/>
      <c r="G50" s="28"/>
      <c r="H50" s="27"/>
      <c r="I50" s="33"/>
      <c r="K50" s="26"/>
    </row>
    <row r="51" spans="1:18">
      <c r="A51" s="127"/>
      <c r="B51" s="25" t="s">
        <v>17</v>
      </c>
      <c r="C51" s="28"/>
      <c r="D51" s="28"/>
      <c r="E51" s="28"/>
      <c r="F51" s="28"/>
      <c r="G51" s="28"/>
      <c r="H51" s="27"/>
      <c r="I51" s="33"/>
      <c r="K51" s="26"/>
    </row>
    <row r="52" spans="1:18">
      <c r="B52" s="4"/>
      <c r="C52" s="15">
        <f>COUNTA(C33:C37,C43:C47)</f>
        <v>8</v>
      </c>
      <c r="D52" s="15">
        <f t="shared" ref="D52:I52" si="1">COUNTA(D33:D37,D43:D47)</f>
        <v>8</v>
      </c>
      <c r="E52" s="15">
        <f t="shared" si="1"/>
        <v>8</v>
      </c>
      <c r="F52" s="15">
        <f t="shared" si="1"/>
        <v>8</v>
      </c>
      <c r="G52" s="15">
        <f t="shared" si="1"/>
        <v>8</v>
      </c>
      <c r="H52" s="15">
        <f t="shared" si="1"/>
        <v>9</v>
      </c>
      <c r="I52" s="15">
        <f t="shared" si="1"/>
        <v>8</v>
      </c>
      <c r="K52" s="26"/>
    </row>
    <row r="53" spans="1:18" ht="15.95" customHeight="1">
      <c r="A53" s="127" t="s">
        <v>19</v>
      </c>
      <c r="B53" s="6" t="s">
        <v>3</v>
      </c>
      <c r="C53" s="6" t="s">
        <v>84</v>
      </c>
      <c r="D53" s="6" t="s">
        <v>85</v>
      </c>
      <c r="E53" s="6" t="s">
        <v>86</v>
      </c>
      <c r="F53" s="6" t="s">
        <v>87</v>
      </c>
      <c r="G53" s="6" t="s">
        <v>88</v>
      </c>
      <c r="H53" s="6" t="s">
        <v>89</v>
      </c>
      <c r="I53" s="6" t="s">
        <v>90</v>
      </c>
      <c r="K53" s="26"/>
    </row>
    <row r="54" spans="1:18">
      <c r="A54" s="127"/>
      <c r="B54" s="128" t="s">
        <v>5</v>
      </c>
      <c r="C54" s="9" t="s">
        <v>9</v>
      </c>
      <c r="D54" s="9" t="s">
        <v>9</v>
      </c>
      <c r="E54" s="9" t="s">
        <v>9</v>
      </c>
      <c r="F54" s="9" t="s">
        <v>9</v>
      </c>
      <c r="G54" s="9" t="s">
        <v>9</v>
      </c>
      <c r="H54" s="9" t="s">
        <v>9</v>
      </c>
      <c r="I54" s="58" t="s">
        <v>9</v>
      </c>
      <c r="K54" s="26"/>
    </row>
    <row r="55" spans="1:18">
      <c r="A55" s="127"/>
      <c r="B55" s="129"/>
      <c r="C55" s="9" t="s">
        <v>10</v>
      </c>
      <c r="D55" s="9" t="s">
        <v>8</v>
      </c>
      <c r="E55" s="9" t="s">
        <v>8</v>
      </c>
      <c r="F55" s="9" t="s">
        <v>8</v>
      </c>
      <c r="G55" s="58" t="s">
        <v>8</v>
      </c>
      <c r="H55" s="9" t="s">
        <v>6</v>
      </c>
      <c r="I55" s="9" t="s">
        <v>6</v>
      </c>
      <c r="K55" s="26"/>
    </row>
    <row r="56" spans="1:18">
      <c r="A56" s="127"/>
      <c r="B56" s="129"/>
      <c r="C56" s="9" t="s">
        <v>8</v>
      </c>
      <c r="D56" s="58" t="s">
        <v>7</v>
      </c>
      <c r="E56" s="9" t="s">
        <v>6</v>
      </c>
      <c r="F56" s="9" t="s">
        <v>6</v>
      </c>
      <c r="G56" s="9" t="s">
        <v>6</v>
      </c>
      <c r="H56" s="9" t="s">
        <v>10</v>
      </c>
      <c r="I56" s="9" t="s">
        <v>10</v>
      </c>
      <c r="K56" s="26"/>
    </row>
    <row r="57" spans="1:18">
      <c r="A57" s="127"/>
      <c r="B57" s="129"/>
      <c r="C57" s="9"/>
      <c r="D57" s="9" t="s">
        <v>10</v>
      </c>
      <c r="E57" s="58" t="s">
        <v>14</v>
      </c>
      <c r="F57" s="58" t="s">
        <v>10</v>
      </c>
      <c r="G57" s="17" t="s">
        <v>10</v>
      </c>
      <c r="H57" s="9"/>
      <c r="I57" s="58" t="s">
        <v>8</v>
      </c>
      <c r="J57" s="34"/>
      <c r="K57" s="26"/>
    </row>
    <row r="58" spans="1:18">
      <c r="A58" s="127"/>
      <c r="B58" s="130"/>
      <c r="C58" s="9"/>
      <c r="D58" s="9"/>
      <c r="E58" s="9"/>
      <c r="F58" s="9"/>
      <c r="G58" s="9"/>
      <c r="H58" s="9"/>
      <c r="I58" s="9"/>
      <c r="K58" s="26"/>
    </row>
    <row r="59" spans="1:18">
      <c r="A59" s="127"/>
      <c r="B59" s="18" t="s">
        <v>12</v>
      </c>
      <c r="C59" s="19"/>
      <c r="D59" s="19"/>
      <c r="E59" s="20" t="s">
        <v>14</v>
      </c>
      <c r="F59" s="20" t="s">
        <v>10</v>
      </c>
      <c r="G59" s="19"/>
      <c r="H59" s="19"/>
      <c r="I59" s="20" t="s">
        <v>9</v>
      </c>
      <c r="K59" s="26"/>
    </row>
    <row r="60" spans="1:18">
      <c r="A60" s="127"/>
      <c r="B60" s="31"/>
      <c r="C60" s="19"/>
      <c r="D60" s="19"/>
      <c r="E60" s="19"/>
      <c r="F60" s="19"/>
      <c r="G60" s="30"/>
      <c r="H60" s="19"/>
      <c r="I60" s="20" t="s">
        <v>8</v>
      </c>
      <c r="K60" s="26"/>
    </row>
    <row r="61" spans="1:18" ht="19.5" customHeight="1">
      <c r="A61" s="127"/>
      <c r="B61" s="136" t="s">
        <v>15</v>
      </c>
      <c r="C61" s="19"/>
      <c r="D61" s="19"/>
      <c r="E61" s="19"/>
      <c r="F61" s="19"/>
      <c r="G61" s="122" t="s">
        <v>8</v>
      </c>
      <c r="H61" s="19"/>
      <c r="I61" s="19"/>
      <c r="K61" s="26"/>
    </row>
    <row r="62" spans="1:18" ht="19.5" customHeight="1">
      <c r="A62" s="127"/>
      <c r="B62" s="137"/>
      <c r="C62" s="19"/>
      <c r="D62" s="19"/>
      <c r="E62" s="19"/>
      <c r="F62" s="19"/>
      <c r="G62" s="121"/>
      <c r="H62" s="33"/>
      <c r="I62" s="19"/>
      <c r="K62" s="26"/>
    </row>
    <row r="63" spans="1:18">
      <c r="A63" s="127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>
      <c r="A64" s="127"/>
      <c r="B64" s="128" t="s">
        <v>18</v>
      </c>
      <c r="C64" s="9" t="s">
        <v>11</v>
      </c>
      <c r="D64" s="9" t="s">
        <v>11</v>
      </c>
      <c r="E64" s="9" t="s">
        <v>11</v>
      </c>
      <c r="F64" s="9" t="s">
        <v>11</v>
      </c>
      <c r="G64" s="9" t="s">
        <v>11</v>
      </c>
      <c r="H64" s="9" t="s">
        <v>11</v>
      </c>
      <c r="I64" s="58" t="s">
        <v>6</v>
      </c>
      <c r="K64" s="26"/>
    </row>
    <row r="65" spans="1:14">
      <c r="A65" s="127"/>
      <c r="B65" s="129"/>
      <c r="C65" s="58" t="s">
        <v>6</v>
      </c>
      <c r="D65" s="9" t="s">
        <v>6</v>
      </c>
      <c r="E65" s="58" t="s">
        <v>6</v>
      </c>
      <c r="F65" s="58" t="s">
        <v>6</v>
      </c>
      <c r="G65" s="58" t="s">
        <v>6</v>
      </c>
      <c r="H65" s="58" t="s">
        <v>6</v>
      </c>
      <c r="I65" s="9" t="s">
        <v>14</v>
      </c>
      <c r="K65" s="26"/>
    </row>
    <row r="66" spans="1:14">
      <c r="A66" s="127"/>
      <c r="B66" s="129"/>
      <c r="C66" s="9" t="s">
        <v>14</v>
      </c>
      <c r="D66" s="9" t="s">
        <v>14</v>
      </c>
      <c r="E66" s="9" t="s">
        <v>10</v>
      </c>
      <c r="F66" s="9" t="s">
        <v>14</v>
      </c>
      <c r="G66" s="9" t="s">
        <v>14</v>
      </c>
      <c r="H66" s="58" t="s">
        <v>14</v>
      </c>
      <c r="I66" s="58" t="s">
        <v>11</v>
      </c>
      <c r="J66" s="34"/>
      <c r="K66" s="26"/>
    </row>
    <row r="67" spans="1:14">
      <c r="A67" s="127"/>
      <c r="B67" s="129"/>
      <c r="C67" s="58" t="s">
        <v>7</v>
      </c>
      <c r="E67" s="9" t="s">
        <v>16</v>
      </c>
      <c r="F67" s="9" t="s">
        <v>16</v>
      </c>
      <c r="G67" s="9" t="s">
        <v>16</v>
      </c>
      <c r="H67" s="9" t="s">
        <v>8</v>
      </c>
      <c r="I67" s="58" t="s">
        <v>8</v>
      </c>
      <c r="K67" s="26"/>
    </row>
    <row r="68" spans="1:14">
      <c r="A68" s="127"/>
      <c r="B68" s="130"/>
      <c r="C68" s="9" t="s">
        <v>16</v>
      </c>
      <c r="D68" s="58" t="s">
        <v>16</v>
      </c>
      <c r="E68" s="9"/>
      <c r="F68" s="9"/>
      <c r="G68" s="9"/>
      <c r="H68" s="9" t="s">
        <v>16</v>
      </c>
      <c r="I68" s="9" t="s">
        <v>16</v>
      </c>
      <c r="K68" s="26"/>
    </row>
    <row r="69" spans="1:14">
      <c r="A69" s="127"/>
      <c r="B69" s="131" t="s">
        <v>12</v>
      </c>
      <c r="C69" s="18" t="s">
        <v>6</v>
      </c>
      <c r="D69" s="18" t="s">
        <v>16</v>
      </c>
      <c r="E69" s="27"/>
      <c r="F69" s="27"/>
      <c r="G69" s="27"/>
      <c r="H69" s="19"/>
      <c r="I69" s="20" t="s">
        <v>11</v>
      </c>
    </row>
    <row r="70" spans="1:14">
      <c r="A70" s="127"/>
      <c r="B70" s="133"/>
      <c r="C70" s="19"/>
      <c r="D70" s="19"/>
      <c r="E70" s="27"/>
      <c r="F70" s="27"/>
      <c r="G70" s="27"/>
      <c r="H70" s="19"/>
      <c r="I70" s="33"/>
    </row>
    <row r="71" spans="1:14">
      <c r="A71" s="127"/>
      <c r="B71" s="22" t="s">
        <v>15</v>
      </c>
      <c r="C71" s="19"/>
      <c r="D71" s="19"/>
      <c r="E71" s="19"/>
      <c r="F71" s="19"/>
      <c r="G71" s="27"/>
      <c r="H71" s="65" t="s">
        <v>14</v>
      </c>
      <c r="I71" s="33"/>
      <c r="K71" s="123"/>
      <c r="L71" s="123"/>
      <c r="M71" s="123"/>
      <c r="N71" s="123"/>
    </row>
    <row r="72" spans="1:14">
      <c r="A72" s="127"/>
      <c r="B72" s="25" t="s">
        <v>17</v>
      </c>
      <c r="C72" s="19"/>
      <c r="D72" s="19"/>
      <c r="E72" s="19"/>
      <c r="F72" s="19"/>
      <c r="G72" s="27"/>
      <c r="H72" s="28"/>
      <c r="I72" s="28"/>
      <c r="K72" s="123"/>
      <c r="L72" s="123"/>
      <c r="M72" s="123"/>
      <c r="N72" s="123"/>
    </row>
    <row r="73" spans="1:14">
      <c r="B73" s="4"/>
      <c r="C73" s="15">
        <f>COUNTA(C54:C58,C64:C68)</f>
        <v>8</v>
      </c>
      <c r="D73" s="15">
        <f>COUNTA(D54:D58,D64:D68)</f>
        <v>8</v>
      </c>
      <c r="E73" s="15">
        <f t="shared" ref="E73:I73" si="2">COUNTA(E54:E58,E64:E68)</f>
        <v>8</v>
      </c>
      <c r="F73" s="15">
        <f t="shared" si="2"/>
        <v>8</v>
      </c>
      <c r="G73" s="15">
        <f t="shared" si="2"/>
        <v>8</v>
      </c>
      <c r="H73" s="15">
        <f t="shared" si="2"/>
        <v>8</v>
      </c>
      <c r="I73" s="15">
        <f t="shared" si="2"/>
        <v>9</v>
      </c>
      <c r="K73" s="36"/>
      <c r="L73" s="123"/>
      <c r="M73" s="123"/>
      <c r="N73" s="123"/>
    </row>
    <row r="74" spans="1:14" ht="15.95" customHeight="1">
      <c r="A74" s="127" t="s">
        <v>20</v>
      </c>
      <c r="B74" s="6" t="s">
        <v>3</v>
      </c>
      <c r="C74" s="6" t="s">
        <v>91</v>
      </c>
      <c r="D74" s="6" t="s">
        <v>92</v>
      </c>
      <c r="E74" s="6" t="s">
        <v>93</v>
      </c>
      <c r="F74" s="6" t="s">
        <v>94</v>
      </c>
      <c r="G74" s="6" t="s">
        <v>95</v>
      </c>
      <c r="H74" s="6" t="s">
        <v>96</v>
      </c>
      <c r="I74" s="6" t="s">
        <v>97</v>
      </c>
      <c r="K74" s="123"/>
      <c r="L74" s="123"/>
      <c r="M74" s="123"/>
      <c r="N74" s="123"/>
    </row>
    <row r="75" spans="1:14">
      <c r="A75" s="127"/>
      <c r="B75" s="128" t="s">
        <v>5</v>
      </c>
      <c r="C75" s="9" t="s">
        <v>9</v>
      </c>
      <c r="D75" s="9" t="s">
        <v>9</v>
      </c>
      <c r="E75" s="9" t="s">
        <v>9</v>
      </c>
      <c r="F75" s="9" t="s">
        <v>9</v>
      </c>
      <c r="G75" s="9" t="s">
        <v>9</v>
      </c>
      <c r="H75" s="9" t="s">
        <v>9</v>
      </c>
      <c r="I75" s="58" t="s">
        <v>9</v>
      </c>
      <c r="K75" s="37"/>
      <c r="L75" s="123"/>
      <c r="M75" s="123"/>
      <c r="N75" s="123"/>
    </row>
    <row r="76" spans="1:14">
      <c r="A76" s="127"/>
      <c r="B76" s="129"/>
      <c r="C76" s="9" t="s">
        <v>10</v>
      </c>
      <c r="D76" s="9" t="s">
        <v>8</v>
      </c>
      <c r="E76" s="9" t="s">
        <v>8</v>
      </c>
      <c r="F76" s="9" t="s">
        <v>8</v>
      </c>
      <c r="G76" s="9" t="s">
        <v>8</v>
      </c>
      <c r="H76" s="58" t="s">
        <v>7</v>
      </c>
      <c r="I76" s="58" t="s">
        <v>7</v>
      </c>
      <c r="K76" s="11"/>
    </row>
    <row r="77" spans="1:14">
      <c r="A77" s="127"/>
      <c r="B77" s="129"/>
      <c r="C77" s="9" t="s">
        <v>8</v>
      </c>
      <c r="D77" s="58" t="s">
        <v>7</v>
      </c>
      <c r="E77" s="9" t="s">
        <v>16</v>
      </c>
      <c r="F77" s="9" t="s">
        <v>16</v>
      </c>
      <c r="G77" s="9" t="s">
        <v>16</v>
      </c>
      <c r="H77" s="9" t="s">
        <v>10</v>
      </c>
      <c r="I77" s="9" t="s">
        <v>10</v>
      </c>
      <c r="K77" s="11"/>
    </row>
    <row r="78" spans="1:14">
      <c r="A78" s="127"/>
      <c r="B78" s="129"/>
      <c r="C78" s="9"/>
      <c r="D78" s="9" t="s">
        <v>10</v>
      </c>
      <c r="E78" s="58" t="s">
        <v>14</v>
      </c>
      <c r="F78" s="58" t="s">
        <v>10</v>
      </c>
      <c r="G78" s="58" t="s">
        <v>10</v>
      </c>
      <c r="H78" s="9" t="s">
        <v>16</v>
      </c>
      <c r="I78" s="9" t="s">
        <v>16</v>
      </c>
      <c r="K78" s="11"/>
    </row>
    <row r="79" spans="1:14">
      <c r="A79" s="127"/>
      <c r="B79" s="130"/>
      <c r="C79" s="9"/>
      <c r="D79" s="9"/>
      <c r="E79" s="9"/>
      <c r="F79" s="9"/>
      <c r="G79" s="17"/>
      <c r="H79" s="9" t="s">
        <v>8</v>
      </c>
      <c r="I79" s="9"/>
      <c r="K79" s="11"/>
    </row>
    <row r="80" spans="1:14">
      <c r="A80" s="127"/>
      <c r="B80" s="18" t="s">
        <v>12</v>
      </c>
      <c r="C80" s="19"/>
      <c r="D80" s="19"/>
      <c r="E80" s="20" t="s">
        <v>14</v>
      </c>
      <c r="F80" s="20" t="s">
        <v>10</v>
      </c>
      <c r="G80" s="19"/>
      <c r="H80" s="19"/>
      <c r="I80" s="20" t="s">
        <v>9</v>
      </c>
    </row>
    <row r="81" spans="1:9">
      <c r="A81" s="127"/>
      <c r="B81" s="18"/>
      <c r="C81" s="19"/>
      <c r="D81" s="19"/>
      <c r="E81" s="19"/>
      <c r="F81" s="19"/>
      <c r="G81" s="19"/>
      <c r="H81" s="19"/>
      <c r="I81" s="19"/>
    </row>
    <row r="82" spans="1:9">
      <c r="A82" s="127"/>
      <c r="B82" s="22" t="s">
        <v>15</v>
      </c>
      <c r="C82" s="19"/>
      <c r="D82" s="19"/>
      <c r="E82" s="23"/>
      <c r="F82" s="19"/>
      <c r="G82" s="122" t="s">
        <v>10</v>
      </c>
      <c r="H82" s="23"/>
      <c r="I82" s="19"/>
    </row>
    <row r="83" spans="1:9">
      <c r="A83" s="127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>
      <c r="A84" s="127"/>
      <c r="B84" s="128" t="s">
        <v>18</v>
      </c>
      <c r="C84" s="9" t="s">
        <v>11</v>
      </c>
      <c r="D84" s="9" t="s">
        <v>11</v>
      </c>
      <c r="E84" s="9" t="s">
        <v>11</v>
      </c>
      <c r="F84" s="9" t="s">
        <v>11</v>
      </c>
      <c r="G84" s="9" t="s">
        <v>11</v>
      </c>
      <c r="H84" s="9" t="s">
        <v>11</v>
      </c>
      <c r="I84" s="114" t="s">
        <v>11</v>
      </c>
    </row>
    <row r="85" spans="1:9">
      <c r="A85" s="127"/>
      <c r="B85" s="129"/>
      <c r="C85" s="58" t="s">
        <v>6</v>
      </c>
      <c r="D85" s="9" t="s">
        <v>6</v>
      </c>
      <c r="E85" s="9" t="s">
        <v>6</v>
      </c>
      <c r="F85" s="9" t="s">
        <v>6</v>
      </c>
      <c r="G85" s="9" t="s">
        <v>6</v>
      </c>
      <c r="H85" s="9" t="s">
        <v>6</v>
      </c>
      <c r="I85" s="9" t="s">
        <v>6</v>
      </c>
    </row>
    <row r="86" spans="1:9">
      <c r="A86" s="127"/>
      <c r="B86" s="129"/>
      <c r="C86" s="9" t="s">
        <v>14</v>
      </c>
      <c r="D86" s="9" t="s">
        <v>14</v>
      </c>
      <c r="E86" s="9" t="s">
        <v>10</v>
      </c>
      <c r="F86" s="9" t="s">
        <v>14</v>
      </c>
      <c r="G86" s="9" t="s">
        <v>14</v>
      </c>
      <c r="H86" s="9" t="s">
        <v>14</v>
      </c>
      <c r="I86" s="9" t="s">
        <v>14</v>
      </c>
    </row>
    <row r="87" spans="1:9">
      <c r="A87" s="127"/>
      <c r="B87" s="129"/>
      <c r="C87" s="9" t="s">
        <v>16</v>
      </c>
      <c r="D87" s="58" t="s">
        <v>16</v>
      </c>
      <c r="E87" s="9"/>
      <c r="F87" s="9"/>
      <c r="G87" s="9"/>
      <c r="H87" s="64" t="s">
        <v>8</v>
      </c>
      <c r="I87" s="64" t="s">
        <v>8</v>
      </c>
    </row>
    <row r="88" spans="1:9">
      <c r="A88" s="127"/>
      <c r="B88" s="130"/>
      <c r="C88" s="58" t="s">
        <v>16</v>
      </c>
      <c r="D88" s="9"/>
      <c r="E88" s="9"/>
      <c r="F88" s="9"/>
      <c r="G88" s="9"/>
      <c r="H88" s="9"/>
      <c r="I88" s="9"/>
    </row>
    <row r="89" spans="1:9">
      <c r="A89" s="127"/>
      <c r="B89" s="131" t="s">
        <v>12</v>
      </c>
      <c r="C89" s="18" t="s">
        <v>6</v>
      </c>
      <c r="D89" s="18" t="s">
        <v>16</v>
      </c>
      <c r="E89" s="27"/>
      <c r="F89" s="27"/>
      <c r="G89" s="27"/>
      <c r="H89" s="29"/>
      <c r="I89" s="20" t="s">
        <v>11</v>
      </c>
    </row>
    <row r="90" spans="1:9">
      <c r="A90" s="127"/>
      <c r="B90" s="133"/>
      <c r="C90" s="19"/>
      <c r="D90" s="27"/>
      <c r="E90" s="27"/>
      <c r="F90" s="27"/>
      <c r="G90" s="27"/>
      <c r="H90" s="29"/>
      <c r="I90" s="20" t="s">
        <v>8</v>
      </c>
    </row>
    <row r="91" spans="1:9">
      <c r="A91" s="127"/>
      <c r="B91" s="136" t="s">
        <v>15</v>
      </c>
      <c r="C91" s="19"/>
      <c r="D91" s="30"/>
      <c r="E91" s="27"/>
      <c r="F91" s="27"/>
      <c r="G91" s="27"/>
      <c r="H91" s="29"/>
      <c r="I91" s="33"/>
    </row>
    <row r="92" spans="1:9">
      <c r="A92" s="127"/>
      <c r="B92" s="137"/>
      <c r="C92" s="19"/>
      <c r="D92" s="30"/>
      <c r="E92" s="27"/>
      <c r="F92" s="19"/>
      <c r="G92" s="23"/>
      <c r="H92" s="29"/>
      <c r="I92" s="33"/>
    </row>
    <row r="93" spans="1:9">
      <c r="A93" s="127"/>
      <c r="B93" s="25" t="s">
        <v>17</v>
      </c>
      <c r="C93" s="19"/>
      <c r="D93" s="30"/>
      <c r="E93" s="27"/>
      <c r="F93" s="19"/>
      <c r="G93" s="23"/>
      <c r="H93" s="29"/>
      <c r="I93" s="33"/>
    </row>
    <row r="94" spans="1:9">
      <c r="B94" s="4"/>
      <c r="C94" s="15">
        <f>COUNTA(C75:C79,C84:C88)</f>
        <v>8</v>
      </c>
      <c r="D94" s="15">
        <f t="shared" ref="D94:I94" si="3">COUNTA(D75:D79,D84:D88)</f>
        <v>8</v>
      </c>
      <c r="E94" s="15">
        <f t="shared" si="3"/>
        <v>7</v>
      </c>
      <c r="F94" s="15">
        <f t="shared" si="3"/>
        <v>7</v>
      </c>
      <c r="G94" s="15">
        <f t="shared" si="3"/>
        <v>7</v>
      </c>
      <c r="H94" s="15">
        <f t="shared" si="3"/>
        <v>9</v>
      </c>
      <c r="I94" s="15">
        <f t="shared" si="3"/>
        <v>8</v>
      </c>
    </row>
    <row r="95" spans="1:9" ht="15.95" customHeight="1">
      <c r="A95" s="127" t="s">
        <v>21</v>
      </c>
      <c r="B95" s="6" t="s">
        <v>3</v>
      </c>
      <c r="C95" s="6" t="s">
        <v>98</v>
      </c>
      <c r="D95" s="6" t="s">
        <v>99</v>
      </c>
      <c r="E95" s="6" t="s">
        <v>100</v>
      </c>
      <c r="F95" s="6" t="s">
        <v>101</v>
      </c>
      <c r="G95" s="6" t="s">
        <v>102</v>
      </c>
      <c r="H95" s="6" t="s">
        <v>103</v>
      </c>
      <c r="I95" s="6" t="s">
        <v>104</v>
      </c>
    </row>
    <row r="96" spans="1:9">
      <c r="A96" s="127"/>
      <c r="B96" s="128" t="s">
        <v>5</v>
      </c>
      <c r="C96" s="9" t="s">
        <v>9</v>
      </c>
      <c r="D96" s="9" t="s">
        <v>9</v>
      </c>
      <c r="E96" s="9" t="s">
        <v>9</v>
      </c>
      <c r="F96" s="9" t="s">
        <v>9</v>
      </c>
      <c r="G96" s="45" t="s">
        <v>9</v>
      </c>
      <c r="H96" s="9" t="s">
        <v>9</v>
      </c>
      <c r="I96" s="58" t="s">
        <v>9</v>
      </c>
    </row>
    <row r="97" spans="1:9">
      <c r="A97" s="127"/>
      <c r="B97" s="129"/>
      <c r="C97" s="9" t="s">
        <v>10</v>
      </c>
      <c r="D97" s="9" t="s">
        <v>8</v>
      </c>
      <c r="E97" s="9" t="s">
        <v>8</v>
      </c>
      <c r="F97" s="9" t="s">
        <v>8</v>
      </c>
      <c r="G97" s="45" t="s">
        <v>8</v>
      </c>
      <c r="H97" s="58" t="s">
        <v>7</v>
      </c>
      <c r="I97" s="58" t="s">
        <v>7</v>
      </c>
    </row>
    <row r="98" spans="1:9">
      <c r="A98" s="127"/>
      <c r="B98" s="129"/>
      <c r="C98" s="9" t="s">
        <v>8</v>
      </c>
      <c r="D98" s="58" t="s">
        <v>7</v>
      </c>
      <c r="E98" s="58" t="s">
        <v>7</v>
      </c>
      <c r="F98" s="58" t="s">
        <v>7</v>
      </c>
      <c r="G98" s="58" t="s">
        <v>7</v>
      </c>
      <c r="H98" s="9" t="s">
        <v>10</v>
      </c>
      <c r="I98" s="9" t="s">
        <v>10</v>
      </c>
    </row>
    <row r="99" spans="1:9">
      <c r="A99" s="127"/>
      <c r="B99" s="129"/>
      <c r="C99" s="9"/>
      <c r="D99" s="9" t="s">
        <v>10</v>
      </c>
      <c r="E99" s="58" t="s">
        <v>14</v>
      </c>
      <c r="F99" s="58" t="s">
        <v>10</v>
      </c>
      <c r="G99" s="9" t="s">
        <v>10</v>
      </c>
      <c r="H99" s="9"/>
      <c r="I99" s="9"/>
    </row>
    <row r="100" spans="1:9" ht="30">
      <c r="A100" s="127"/>
      <c r="B100" s="130"/>
      <c r="C100" s="125" t="s">
        <v>144</v>
      </c>
      <c r="D100" s="9"/>
      <c r="E100" s="9" t="s">
        <v>16</v>
      </c>
      <c r="F100" s="9" t="s">
        <v>16</v>
      </c>
      <c r="G100" s="45" t="s">
        <v>16</v>
      </c>
      <c r="H100" s="9" t="s">
        <v>16</v>
      </c>
      <c r="I100" s="9" t="s">
        <v>16</v>
      </c>
    </row>
    <row r="101" spans="1:9">
      <c r="A101" s="127"/>
      <c r="B101" s="18" t="s">
        <v>12</v>
      </c>
      <c r="C101" s="19"/>
      <c r="D101" s="57"/>
      <c r="E101" s="20" t="s">
        <v>14</v>
      </c>
      <c r="F101" s="20" t="s">
        <v>10</v>
      </c>
      <c r="G101" s="46"/>
      <c r="H101" s="19"/>
      <c r="I101" s="20" t="s">
        <v>9</v>
      </c>
    </row>
    <row r="102" spans="1:9">
      <c r="A102" s="127"/>
      <c r="B102" s="18"/>
      <c r="C102" s="19"/>
      <c r="D102" s="19"/>
      <c r="E102" s="19"/>
      <c r="F102" s="19"/>
      <c r="G102" s="47"/>
      <c r="H102" s="19"/>
      <c r="I102" s="19"/>
    </row>
    <row r="103" spans="1:9">
      <c r="A103" s="127"/>
      <c r="B103" s="22" t="s">
        <v>15</v>
      </c>
      <c r="C103" s="19"/>
      <c r="D103" s="19"/>
      <c r="E103" s="23"/>
      <c r="F103" s="19"/>
      <c r="G103" s="47"/>
      <c r="H103" s="23"/>
      <c r="I103" s="19"/>
    </row>
    <row r="104" spans="1:9">
      <c r="A104" s="127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>
      <c r="A105" s="127"/>
      <c r="B105" s="128" t="s">
        <v>18</v>
      </c>
      <c r="C105" s="9" t="s">
        <v>11</v>
      </c>
      <c r="D105" s="9" t="s">
        <v>11</v>
      </c>
      <c r="E105" s="9" t="s">
        <v>11</v>
      </c>
      <c r="F105" s="9" t="s">
        <v>11</v>
      </c>
      <c r="G105" s="45" t="s">
        <v>11</v>
      </c>
      <c r="H105" s="9" t="s">
        <v>11</v>
      </c>
      <c r="I105" s="114" t="s">
        <v>11</v>
      </c>
    </row>
    <row r="106" spans="1:9">
      <c r="A106" s="127"/>
      <c r="B106" s="129"/>
      <c r="C106" s="58" t="s">
        <v>6</v>
      </c>
      <c r="D106" s="9" t="s">
        <v>6</v>
      </c>
      <c r="E106" s="9" t="s">
        <v>6</v>
      </c>
      <c r="F106" s="9" t="s">
        <v>6</v>
      </c>
      <c r="G106" s="9" t="s">
        <v>6</v>
      </c>
      <c r="H106" s="9" t="s">
        <v>6</v>
      </c>
      <c r="I106" s="9" t="s">
        <v>6</v>
      </c>
    </row>
    <row r="107" spans="1:9">
      <c r="A107" s="127"/>
      <c r="B107" s="129"/>
      <c r="C107" s="9" t="s">
        <v>14</v>
      </c>
      <c r="D107" s="58" t="s">
        <v>14</v>
      </c>
      <c r="E107" s="9" t="s">
        <v>10</v>
      </c>
      <c r="F107" s="58" t="s">
        <v>14</v>
      </c>
      <c r="G107" s="58" t="s">
        <v>14</v>
      </c>
      <c r="H107" s="58" t="s">
        <v>14</v>
      </c>
      <c r="I107" s="58" t="s">
        <v>14</v>
      </c>
    </row>
    <row r="108" spans="1:9">
      <c r="A108" s="127"/>
      <c r="B108" s="129"/>
      <c r="C108" s="58" t="s">
        <v>7</v>
      </c>
      <c r="D108" s="34" t="s">
        <v>7</v>
      </c>
      <c r="E108" s="9" t="s">
        <v>7</v>
      </c>
      <c r="F108" s="9" t="s">
        <v>7</v>
      </c>
      <c r="G108" s="9" t="s">
        <v>7</v>
      </c>
      <c r="H108" s="17" t="s">
        <v>8</v>
      </c>
      <c r="I108" s="64" t="s">
        <v>8</v>
      </c>
    </row>
    <row r="109" spans="1:9">
      <c r="A109" s="127"/>
      <c r="B109" s="130"/>
      <c r="C109" s="9" t="s">
        <v>16</v>
      </c>
      <c r="D109" s="9"/>
      <c r="E109" s="9"/>
      <c r="F109" s="9"/>
      <c r="G109" s="45"/>
      <c r="H109" s="9" t="s">
        <v>7</v>
      </c>
      <c r="I109" s="9" t="s">
        <v>7</v>
      </c>
    </row>
    <row r="110" spans="1:9">
      <c r="A110" s="127"/>
      <c r="B110" s="131" t="s">
        <v>12</v>
      </c>
      <c r="C110" s="18" t="s">
        <v>6</v>
      </c>
      <c r="D110" s="18" t="s">
        <v>16</v>
      </c>
      <c r="E110" s="27"/>
      <c r="F110" s="27"/>
      <c r="G110" s="48"/>
      <c r="H110" s="29"/>
      <c r="I110" s="20" t="s">
        <v>11</v>
      </c>
    </row>
    <row r="111" spans="1:9">
      <c r="A111" s="127"/>
      <c r="B111" s="132"/>
      <c r="C111" s="18" t="s">
        <v>7</v>
      </c>
      <c r="D111" s="28"/>
      <c r="E111" s="27"/>
      <c r="F111" s="27"/>
      <c r="G111" s="48"/>
      <c r="H111" s="29"/>
      <c r="I111" s="20" t="s">
        <v>8</v>
      </c>
    </row>
    <row r="112" spans="1:9">
      <c r="A112" s="127"/>
      <c r="B112" s="133"/>
      <c r="C112" s="28"/>
      <c r="D112" s="27"/>
      <c r="E112" s="27"/>
      <c r="F112" s="27"/>
      <c r="G112" s="48"/>
      <c r="H112" s="47"/>
      <c r="I112" s="19"/>
    </row>
    <row r="113" spans="1:9">
      <c r="A113" s="127"/>
      <c r="B113" s="134" t="s">
        <v>15</v>
      </c>
      <c r="C113" s="19"/>
      <c r="D113" s="30"/>
      <c r="E113" s="27"/>
      <c r="F113" s="27"/>
      <c r="G113" s="124"/>
      <c r="H113" s="47"/>
      <c r="I113" s="19"/>
    </row>
    <row r="114" spans="1:9">
      <c r="A114" s="127"/>
      <c r="B114" s="135"/>
      <c r="C114" s="19"/>
      <c r="D114" s="30"/>
      <c r="E114" s="27"/>
      <c r="F114" s="19"/>
      <c r="G114" s="49"/>
      <c r="H114" s="27"/>
      <c r="I114" s="33"/>
    </row>
    <row r="115" spans="1:9">
      <c r="A115" s="112"/>
      <c r="B115" s="25" t="s">
        <v>17</v>
      </c>
      <c r="C115" s="19"/>
      <c r="D115" s="30"/>
      <c r="E115" s="27"/>
      <c r="F115" s="19"/>
      <c r="G115" s="49"/>
      <c r="H115" s="27"/>
      <c r="I115" s="33"/>
    </row>
    <row r="116" spans="1:9">
      <c r="C116" s="15">
        <f t="shared" ref="C116:I116" si="4">COUNTA(C96:C100,C105:C109)</f>
        <v>9</v>
      </c>
      <c r="D116" s="15">
        <f>COUNTA(D96:D100,D105:D109)</f>
        <v>8</v>
      </c>
      <c r="E116" s="15">
        <f t="shared" si="4"/>
        <v>9</v>
      </c>
      <c r="F116" s="15">
        <f t="shared" si="4"/>
        <v>9</v>
      </c>
      <c r="G116" s="15">
        <f t="shared" si="4"/>
        <v>9</v>
      </c>
      <c r="H116" s="15">
        <f t="shared" si="4"/>
        <v>9</v>
      </c>
      <c r="I116" s="15">
        <f t="shared" si="4"/>
        <v>9</v>
      </c>
    </row>
    <row r="117" spans="1:9" ht="15.95" customHeight="1">
      <c r="A117" s="127" t="s">
        <v>22</v>
      </c>
      <c r="B117" s="6" t="s">
        <v>3</v>
      </c>
      <c r="C117" s="6" t="s">
        <v>105</v>
      </c>
      <c r="D117" s="6" t="s">
        <v>106</v>
      </c>
      <c r="E117" s="6" t="s">
        <v>107</v>
      </c>
      <c r="F117" s="6" t="s">
        <v>108</v>
      </c>
      <c r="G117" s="6" t="s">
        <v>109</v>
      </c>
      <c r="H117" s="6" t="s">
        <v>110</v>
      </c>
      <c r="I117" s="6" t="s">
        <v>111</v>
      </c>
    </row>
    <row r="118" spans="1:9">
      <c r="A118" s="127"/>
      <c r="B118" s="128" t="s">
        <v>5</v>
      </c>
      <c r="C118" s="9" t="s">
        <v>9</v>
      </c>
      <c r="D118" s="9" t="s">
        <v>9</v>
      </c>
      <c r="E118" s="9" t="s">
        <v>9</v>
      </c>
      <c r="F118" s="9" t="s">
        <v>9</v>
      </c>
      <c r="G118" s="45" t="s">
        <v>9</v>
      </c>
      <c r="H118" s="9" t="s">
        <v>9</v>
      </c>
      <c r="I118" s="58" t="s">
        <v>9</v>
      </c>
    </row>
    <row r="119" spans="1:9">
      <c r="A119" s="127"/>
      <c r="B119" s="129"/>
      <c r="C119" s="9" t="s">
        <v>10</v>
      </c>
      <c r="D119" s="9" t="s">
        <v>8</v>
      </c>
      <c r="E119" s="9" t="s">
        <v>8</v>
      </c>
      <c r="F119" s="9" t="s">
        <v>8</v>
      </c>
      <c r="G119" s="45" t="s">
        <v>8</v>
      </c>
      <c r="H119" s="58" t="s">
        <v>7</v>
      </c>
      <c r="I119" s="58" t="s">
        <v>7</v>
      </c>
    </row>
    <row r="120" spans="1:9">
      <c r="A120" s="127"/>
      <c r="B120" s="129"/>
      <c r="C120" s="9" t="s">
        <v>8</v>
      </c>
      <c r="D120" s="58" t="s">
        <v>7</v>
      </c>
      <c r="E120" s="58" t="s">
        <v>7</v>
      </c>
      <c r="F120" s="58" t="s">
        <v>7</v>
      </c>
      <c r="G120" s="58" t="s">
        <v>7</v>
      </c>
      <c r="H120" s="9" t="s">
        <v>10</v>
      </c>
      <c r="I120" s="9" t="s">
        <v>10</v>
      </c>
    </row>
    <row r="121" spans="1:9">
      <c r="A121" s="127"/>
      <c r="B121" s="129"/>
      <c r="C121" s="9"/>
      <c r="D121" s="9" t="s">
        <v>10</v>
      </c>
      <c r="E121" s="58" t="s">
        <v>14</v>
      </c>
      <c r="F121" s="58" t="s">
        <v>10</v>
      </c>
      <c r="G121" s="9" t="s">
        <v>10</v>
      </c>
      <c r="H121" s="9"/>
      <c r="I121" s="9"/>
    </row>
    <row r="122" spans="1:9">
      <c r="A122" s="127"/>
      <c r="B122" s="130"/>
      <c r="C122" s="9"/>
      <c r="D122" s="9"/>
      <c r="E122" s="9" t="s">
        <v>16</v>
      </c>
      <c r="F122" s="9" t="s">
        <v>16</v>
      </c>
      <c r="G122" s="45" t="s">
        <v>16</v>
      </c>
      <c r="H122" s="9" t="s">
        <v>16</v>
      </c>
      <c r="I122" s="9" t="s">
        <v>16</v>
      </c>
    </row>
    <row r="123" spans="1:9">
      <c r="A123" s="127"/>
      <c r="B123" s="18" t="s">
        <v>12</v>
      </c>
      <c r="C123" s="19"/>
      <c r="D123" s="57"/>
      <c r="E123" s="20" t="s">
        <v>7</v>
      </c>
      <c r="F123" s="20" t="s">
        <v>10</v>
      </c>
      <c r="G123" s="46"/>
      <c r="H123" s="19"/>
      <c r="I123" s="20" t="s">
        <v>9</v>
      </c>
    </row>
    <row r="124" spans="1:9">
      <c r="A124" s="127"/>
      <c r="B124" s="18"/>
      <c r="C124" s="19"/>
      <c r="D124" s="19"/>
      <c r="E124" s="19"/>
      <c r="F124" s="19"/>
      <c r="G124" s="47"/>
      <c r="H124" s="19"/>
      <c r="I124" s="19"/>
    </row>
    <row r="125" spans="1:9">
      <c r="A125" s="127"/>
      <c r="B125" s="22" t="s">
        <v>15</v>
      </c>
      <c r="C125" s="19"/>
      <c r="D125" s="19"/>
      <c r="E125" s="23"/>
      <c r="F125" s="19"/>
      <c r="G125" s="47"/>
      <c r="H125" s="23"/>
      <c r="I125" s="19"/>
    </row>
    <row r="126" spans="1:9">
      <c r="A126" s="127"/>
      <c r="B126" s="25" t="s">
        <v>17</v>
      </c>
      <c r="C126" s="19"/>
      <c r="D126" s="19"/>
      <c r="E126" s="23"/>
      <c r="F126" s="23"/>
      <c r="G126" s="46"/>
      <c r="H126" s="23"/>
      <c r="I126" s="19"/>
    </row>
    <row r="127" spans="1:9">
      <c r="A127" s="127"/>
      <c r="B127" s="128" t="s">
        <v>18</v>
      </c>
      <c r="C127" s="9" t="s">
        <v>11</v>
      </c>
      <c r="D127" s="9" t="s">
        <v>11</v>
      </c>
      <c r="E127" s="9" t="s">
        <v>11</v>
      </c>
      <c r="F127" s="9" t="s">
        <v>11</v>
      </c>
      <c r="G127" s="45" t="s">
        <v>11</v>
      </c>
      <c r="H127" s="9" t="s">
        <v>11</v>
      </c>
      <c r="I127" s="114" t="s">
        <v>11</v>
      </c>
    </row>
    <row r="128" spans="1:9">
      <c r="A128" s="127"/>
      <c r="B128" s="129"/>
      <c r="C128" s="58" t="s">
        <v>6</v>
      </c>
      <c r="D128" s="9" t="s">
        <v>6</v>
      </c>
      <c r="E128" s="9" t="s">
        <v>6</v>
      </c>
      <c r="F128" s="9" t="s">
        <v>6</v>
      </c>
      <c r="G128" s="9" t="s">
        <v>6</v>
      </c>
      <c r="H128" s="9" t="s">
        <v>6</v>
      </c>
      <c r="I128" s="9" t="s">
        <v>6</v>
      </c>
    </row>
    <row r="129" spans="1:15">
      <c r="A129" s="127"/>
      <c r="B129" s="129"/>
      <c r="C129" s="58" t="s">
        <v>14</v>
      </c>
      <c r="D129" s="58" t="s">
        <v>14</v>
      </c>
      <c r="E129" s="9" t="s">
        <v>10</v>
      </c>
      <c r="F129" s="58" t="s">
        <v>14</v>
      </c>
      <c r="G129" s="58" t="s">
        <v>14</v>
      </c>
      <c r="H129" s="58" t="s">
        <v>14</v>
      </c>
      <c r="I129" s="58" t="s">
        <v>14</v>
      </c>
    </row>
    <row r="130" spans="1:15">
      <c r="A130" s="127"/>
      <c r="B130" s="129"/>
      <c r="C130" s="9" t="s">
        <v>7</v>
      </c>
      <c r="D130" s="9" t="s">
        <v>7</v>
      </c>
      <c r="E130" s="9"/>
      <c r="F130" s="9" t="s">
        <v>7</v>
      </c>
      <c r="G130" s="9" t="s">
        <v>7</v>
      </c>
      <c r="H130" s="17" t="s">
        <v>8</v>
      </c>
      <c r="I130" s="64" t="s">
        <v>8</v>
      </c>
    </row>
    <row r="131" spans="1:15">
      <c r="A131" s="127"/>
      <c r="B131" s="130"/>
      <c r="C131" s="9" t="s">
        <v>16</v>
      </c>
      <c r="D131" s="9"/>
      <c r="E131" s="9"/>
      <c r="F131" s="9"/>
      <c r="G131" s="45"/>
      <c r="H131" s="9" t="s">
        <v>7</v>
      </c>
      <c r="I131" s="9" t="s">
        <v>7</v>
      </c>
    </row>
    <row r="132" spans="1:15">
      <c r="A132" s="127"/>
      <c r="B132" s="131" t="s">
        <v>12</v>
      </c>
      <c r="C132" s="18" t="s">
        <v>6</v>
      </c>
      <c r="D132" s="18" t="s">
        <v>16</v>
      </c>
      <c r="E132" s="27"/>
      <c r="F132" s="27"/>
      <c r="G132" s="48"/>
      <c r="H132" s="29"/>
      <c r="I132" s="20" t="s">
        <v>11</v>
      </c>
    </row>
    <row r="133" spans="1:15">
      <c r="A133" s="127"/>
      <c r="B133" s="132"/>
      <c r="C133" s="28"/>
      <c r="D133" s="28"/>
      <c r="E133" s="27"/>
      <c r="F133" s="27"/>
      <c r="G133" s="48"/>
      <c r="H133" s="29"/>
      <c r="I133" s="20" t="s">
        <v>8</v>
      </c>
    </row>
    <row r="134" spans="1:15">
      <c r="A134" s="127"/>
      <c r="B134" s="133"/>
      <c r="C134" s="28"/>
      <c r="D134" s="27"/>
      <c r="E134" s="27"/>
      <c r="F134" s="27"/>
      <c r="G134" s="48"/>
      <c r="H134" s="47"/>
      <c r="I134" s="19"/>
    </row>
    <row r="135" spans="1:15">
      <c r="A135" s="127"/>
      <c r="B135" s="134" t="s">
        <v>15</v>
      </c>
      <c r="C135" s="19"/>
      <c r="D135" s="30"/>
      <c r="E135" s="27"/>
      <c r="F135" s="27"/>
      <c r="G135" s="124"/>
      <c r="H135" s="47"/>
      <c r="I135" s="19"/>
    </row>
    <row r="136" spans="1:15">
      <c r="A136" s="127"/>
      <c r="B136" s="135"/>
      <c r="C136" s="19"/>
      <c r="D136" s="30"/>
      <c r="E136" s="27"/>
      <c r="F136" s="19"/>
      <c r="G136" s="49"/>
      <c r="H136" s="27"/>
      <c r="I136" s="33"/>
    </row>
    <row r="137" spans="1:15">
      <c r="A137" s="112"/>
      <c r="B137" s="25" t="s">
        <v>17</v>
      </c>
      <c r="C137" s="19"/>
      <c r="D137" s="30"/>
      <c r="E137" s="27"/>
      <c r="F137" s="19"/>
      <c r="G137" s="49"/>
      <c r="H137" s="27"/>
      <c r="I137" s="33"/>
    </row>
    <row r="138" spans="1:15">
      <c r="C138" s="15">
        <f t="shared" ref="C138" si="5">COUNTA(C118:C122,C127:C131)</f>
        <v>8</v>
      </c>
      <c r="D138" s="15">
        <f>COUNTA(D118:D122,D127:D131)</f>
        <v>8</v>
      </c>
      <c r="E138" s="15">
        <f t="shared" ref="E138:I138" si="6">COUNTA(E118:E122,E127:E131)</f>
        <v>8</v>
      </c>
      <c r="F138" s="15">
        <f t="shared" si="6"/>
        <v>9</v>
      </c>
      <c r="G138" s="15">
        <f t="shared" si="6"/>
        <v>9</v>
      </c>
      <c r="H138" s="15">
        <f t="shared" si="6"/>
        <v>9</v>
      </c>
      <c r="I138" s="15">
        <f t="shared" si="6"/>
        <v>9</v>
      </c>
    </row>
    <row r="141" spans="1:15">
      <c r="D141" s="2"/>
      <c r="E141" s="2"/>
    </row>
    <row r="142" spans="1:15">
      <c r="C142" s="126" t="s">
        <v>27</v>
      </c>
      <c r="D142" s="126"/>
      <c r="E142" s="126"/>
      <c r="F142" s="126"/>
      <c r="G142" s="126"/>
      <c r="I142" s="126" t="s">
        <v>28</v>
      </c>
      <c r="J142" s="126"/>
      <c r="K142" s="126"/>
      <c r="L142" s="126"/>
      <c r="M142" s="126"/>
    </row>
    <row r="143" spans="1:15">
      <c r="D143" s="2" t="s">
        <v>29</v>
      </c>
      <c r="E143" s="2" t="s">
        <v>30</v>
      </c>
      <c r="F143" t="s">
        <v>31</v>
      </c>
      <c r="G143" t="s">
        <v>32</v>
      </c>
      <c r="I143" s="2" t="s">
        <v>29</v>
      </c>
      <c r="J143" s="2" t="s">
        <v>30</v>
      </c>
      <c r="K143" t="s">
        <v>31</v>
      </c>
      <c r="L143" t="s">
        <v>32</v>
      </c>
      <c r="M143" s="2"/>
      <c r="N143" s="2" t="s">
        <v>33</v>
      </c>
      <c r="O143" s="2" t="s">
        <v>34</v>
      </c>
    </row>
    <row r="144" spans="1:15">
      <c r="B144" t="s">
        <v>4</v>
      </c>
      <c r="C144" s="38" t="s">
        <v>16</v>
      </c>
      <c r="D144" s="39">
        <f>COUNTIF($C$9:$I$13,"Mario")-COUNTIF($C$14:$I$19,"Mario")+COUNTIF($C$33:$I$37,"Mario")-COUNTIF($C$38:$I$42,"Mario")+COUNTIF($C$54:$E$58,"Mario")-COUNTIF($C$59:$E$63,"Mario")</f>
        <v>5</v>
      </c>
      <c r="E144" s="39">
        <f>COUNTIF($C$20:$I$24,"Mario")-COUNTIF($C$25:$I$30,"Mario")+COUNTIF($C$43:$I$47,"Mario")-COUNTIF($C$48:$I$51,"Mario")+COUNTIF($C$64:$E$68,"Mario")-COUNTIF($C$69:$E$72,"Mario")</f>
        <v>5</v>
      </c>
      <c r="F144" s="39">
        <f>+COUNTIF($C$14:$I$19,"Mario")+COUNTIF($C$38:$I$42,"Mario")+COUNTIF($C$59:$E$63,"Mario")+COUNTIF($C$25:$I$30,"Mario")+COUNTIF($C$48:$I$51,"Mario")+COUNTIF($C$69:$E$72,"Mario")</f>
        <v>5</v>
      </c>
      <c r="G144" s="40">
        <f>+F144+E144+D144</f>
        <v>15</v>
      </c>
      <c r="H144" s="38" t="s">
        <v>16</v>
      </c>
      <c r="I144" s="39">
        <f>COUNTIF($C$54:$I$58,"Mario")-COUNTIF($C$59:$I$63,"Mario")+COUNTIF($C$75:$I$79,"Mario")-COUNTIF($C$80:$I$83,"Mario")+COUNTIF($C$96:$D$100,"Mario")-COUNTIF($C$101:$D$104,"Mario")</f>
        <v>5</v>
      </c>
      <c r="J144" s="39">
        <f>COUNTIF($C$64:$I$68,"Mario")-COUNTIF($C$69:$I$72,"Mario")+COUNTIF($C$84:$I$88,"Mario")-COUNTIF($C$89:$I$93,"Mario")+COUNTIF($C$105:$D$109,"Mario")-COUNTIF($C$110:$D$115,"Mario")</f>
        <v>8</v>
      </c>
      <c r="K144" s="39">
        <f>COUNTIF($C$59:$I$63,"Mario")+COUNTIF($C$80:$I$83,"Mario")+COUNTIF($C$101:$D$104,"Mario")+COUNTIF($C$69:$I$72,"Mario")+COUNTIF($C$89:$I$93,"Mario")+COUNTIF($C$110:$D$115,"Mario")</f>
        <v>3</v>
      </c>
      <c r="L144" s="40">
        <f t="shared" ref="L144:L151" si="7">+K144+J144+I144</f>
        <v>16</v>
      </c>
      <c r="N144">
        <v>3</v>
      </c>
    </row>
    <row r="145" spans="3:16">
      <c r="C145" t="s">
        <v>7</v>
      </c>
      <c r="D145" s="39">
        <f>COUNTIF($C$9:$I$13,"Edwin")-COUNTIF($C$14:$I$19,"Edwin")+COUNTIF($C$33:$I$37,"Edwin")-COUNTIF($C$38:$I$42,"Edwin")+COUNTIF($C$54:$E$58,"Edwin")-COUNTIF($C$59:$E$63,"Edwin")</f>
        <v>10</v>
      </c>
      <c r="E145" s="39">
        <f>COUNTIF($C$20:$I$24,"Edwin")-COUNTIF($C$25:$I$30,"Edwin")+COUNTIF($C$43:$I$47,"Edwin")-COUNTIF($C$48:$I$51,"Edwin")+COUNTIF($C$64:$E$68,"Edwin")-COUNTIF($C$69:$E$72,"Edwin")</f>
        <v>3</v>
      </c>
      <c r="F145" s="39">
        <f>+COUNTIF($C$14:$I$19,"Edwin")+COUNTIF($C$38:$I$42,"Edwin")+COUNTIF($C$59:$E$63,"Edwin")+COUNTIF($C$25:$I$30,"Edwin")+COUNTIF($C$48:$I$51,"Edwin")+COUNTIF($C$69:$E$72,"Edwin")</f>
        <v>1</v>
      </c>
      <c r="G145" s="40">
        <f>+F145+E145+D145</f>
        <v>14</v>
      </c>
      <c r="H145" t="s">
        <v>7</v>
      </c>
      <c r="I145" s="39">
        <f>COUNTIF($C$54:$I$58,"Edwin")-COUNTIF($C$59:$I$63,"Edwin")+COUNTIF($C$75:$I$79,"Edwin")-COUNTIF($C$80:$I$83,"Edwin")+COUNTIF($C$96:$D$100,"Edwin")-COUNTIF($C$101:$D$104,"Edwin")</f>
        <v>5</v>
      </c>
      <c r="J145" s="39">
        <f>COUNTIF($C$64:$I$68,"Edwin")-COUNTIF($C$69:$I$72,"Edwin")+COUNTIF($C$84:$I$88,"Edwin")-COUNTIF($C$89:$I$93,"Edwin")+COUNTIF($C$105:$D$109,"Edwin")-COUNTIF($C$110:$D$115,"Edwin")</f>
        <v>2</v>
      </c>
      <c r="K145" s="39">
        <f>COUNTIF($C$59:$I$63,"Edwin")+COUNTIF($C$80:$I$83,"Edwin")+COUNTIF($C$101:$D$104,"Edwin")+COUNTIF($C$69:$I$72,"Edwin")+COUNTIF($C$89:$I$93,"Edwin")+COUNTIF($C$110:$D$115,"Edwin")</f>
        <v>1</v>
      </c>
      <c r="L145" s="41">
        <f t="shared" si="7"/>
        <v>8</v>
      </c>
      <c r="N145">
        <v>3</v>
      </c>
    </row>
    <row r="146" spans="3:16">
      <c r="C146" s="38" t="s">
        <v>10</v>
      </c>
      <c r="D146" s="39">
        <f>COUNTIF($C$9:$I$13,"Rene")-COUNTIF($C$14:$I$19,"Rene")+COUNTIF($C$33:$I$37,"Rene")-COUNTIF($C$38:$I$42,"Rene")+COUNTIF($C$54:$E$58,"Rene")-COUNTIF($C$59:$E$63,"Rene")</f>
        <v>7</v>
      </c>
      <c r="E146" s="39">
        <f>COUNTIF($C$20:$I$24,"Rene")-COUNTIF($C$25:$I$30,"Rene")+COUNTIF($C$43:$I$47,"Rene")-COUNTIF($C$48:$I$51,"Rene")+COUNTIF($C$64:$E$68,"Rene")-COUNTIF($C$69:$E$72,"Rene")</f>
        <v>7</v>
      </c>
      <c r="F146" s="39">
        <f>+COUNTIF($C$14:$I$19,"Rene")+COUNTIF($C$38:$I$42,"Rene")+COUNTIF($C$59:$E$63,"Rene")+COUNTIF($C$25:$I$30,"Rene")+COUNTIF($C$48:$I$51,"Rene")+COUNTIF($C$69:$E$72,"Rene")</f>
        <v>1</v>
      </c>
      <c r="G146" s="40">
        <f>+F146+E146+D146</f>
        <v>15</v>
      </c>
      <c r="H146" s="38" t="s">
        <v>10</v>
      </c>
      <c r="I146" s="39">
        <f>COUNTIF($C$54:$I$58,"Rene")-COUNTIF($C$59:$I$63,"Rene")+COUNTIF($C$75:$I$79,"Rene")-COUNTIF($C$80:$I$83,"Rene")+COUNTIF($C$96:$D$100,"Rene")-COUNTIF($C$101:$D$104,"Rene")</f>
        <v>11</v>
      </c>
      <c r="J146" s="39">
        <f>COUNTIF($C$64:$I$68,"Rene")-COUNTIF($C$69:$I$72,"Rene")+COUNTIF($C$84:$I$88,"Rene")-COUNTIF($C$89:$I$93,"Rene")+COUNTIF($C$105:$D$109,"Rene")-COUNTIF($C$110:$D$115,"Rene")</f>
        <v>2</v>
      </c>
      <c r="K146" s="39">
        <f>COUNTIF($C$59:$I$63,"Rene")+COUNTIF($C$80:$I$83,"Rene")+COUNTIF($C$101:$D$104,"Rene")+COUNTIF($C$69:$I$72,"Rene")+COUNTIF($C$89:$I$93,"Rene")+COUNTIF($C$110:$D$115,"Rene")</f>
        <v>3</v>
      </c>
      <c r="L146" s="40">
        <f t="shared" si="7"/>
        <v>16</v>
      </c>
      <c r="N146">
        <v>2</v>
      </c>
      <c r="O146">
        <v>1</v>
      </c>
      <c r="P146" t="s">
        <v>35</v>
      </c>
    </row>
    <row r="147" spans="3:16">
      <c r="C147" t="s">
        <v>9</v>
      </c>
      <c r="D147" s="39">
        <f>COUNTIF($C$9:$I$13,"Luis D")-COUNTIF($C$14:$I$19,"Luis D")+COUNTIF($C$33:$I$37,"Luis D")-COUNTIF($C$38:$I$42,"Luis D")+COUNTIF($C$54:$E$58,"Luis D")-COUNTIF($C$59:$E$63,"Luis D")</f>
        <v>13</v>
      </c>
      <c r="E147" s="39">
        <f>COUNTIF($C$20:$I$24,"Luis D")-COUNTIF($C$25:$I$30,"Luis D")+COUNTIF($C$43:$I$47,"Luis D")-COUNTIF($C$48:$I$51,"Luis D")+COUNTIF($C$64:$E$68,"Luis D")-COUNTIF($C$69:$E$72,"Luis D")</f>
        <v>0</v>
      </c>
      <c r="F147" s="39">
        <f>+COUNTIF($C$14:$I$19,"Luis D")+COUNTIF($C$38:$I$42,"Luis D")+COUNTIF($C$59:$E$63,"Luis D")+COUNTIF($C$25:$I$30,"Luis D")+COUNTIF($C$48:$I$51,"Luis D")+COUNTIF($C$69:$E$72,"Luis D")</f>
        <v>2</v>
      </c>
      <c r="G147" s="40">
        <f>+F147+E147+D147</f>
        <v>15</v>
      </c>
      <c r="H147" t="s">
        <v>9</v>
      </c>
      <c r="I147" s="39">
        <f>COUNTIF($C$54:$I$58,"Luis D")-COUNTIF($C$59:$I$63,"Luis D")+COUNTIF($C$75:$I$79,"Luis D")-COUNTIF($C$80:$I$83,"Luis D")+COUNTIF($C$96:$D$100,"Luis D")-COUNTIF($C$101:$D$104,"Luis D")</f>
        <v>14</v>
      </c>
      <c r="J147" s="39">
        <f>COUNTIF($C$64:$I$68,"Luis D")-COUNTIF($C$69:$I$72,"Luis D")+COUNTIF($C$84:$I$88,"Luis D")-COUNTIF($C$89:$I$93,"Luis D")+COUNTIF($C$105:$D$109,"Luis D")-COUNTIF($C$110:$D$115,"Luis D")</f>
        <v>0</v>
      </c>
      <c r="K147" s="39">
        <f>COUNTIF($C$59:$I$63,"Luis D")+COUNTIF($C$80:$I$83,"Luis D")+COUNTIF($C$101:$D$104,"Luis D")+COUNTIF($C$69:$I$72,"Luis D")+COUNTIF($C$89:$I$93,"Luis D")+COUNTIF($C$110:$D$115,"Luis D")</f>
        <v>2</v>
      </c>
      <c r="L147" s="41">
        <f t="shared" si="7"/>
        <v>16</v>
      </c>
      <c r="N147">
        <v>3</v>
      </c>
    </row>
    <row r="148" spans="3:16">
      <c r="C148" s="38" t="s">
        <v>11</v>
      </c>
      <c r="D148" s="39">
        <f>COUNTIF($C$9:$I$13,"Julio")-COUNTIF($C$14:$I$19,"Julio")+COUNTIF($C$33:$I$37,"Julio")-COUNTIF($C$38:$I$42,"Julio")+COUNTIF($C$54:$E$58,"Julio")-COUNTIF($C$59:$E$63,"Julio")</f>
        <v>0</v>
      </c>
      <c r="E148" s="39">
        <f>COUNTIF($C$20:$I$24,"Julio")-COUNTIF($C$25:$I$30,"Julio")+COUNTIF($C$43:$I$47,"Julio")-COUNTIF($C$48:$I$51,"Julio")+COUNTIF($C$64:$E$68,"Julio")-COUNTIF($C$69:$E$72,"Julio")</f>
        <v>13</v>
      </c>
      <c r="F148" s="39">
        <f>+COUNTIF($C$14:$I$19,"Julio")+COUNTIF($C$38:$I$42,"Julio")+COUNTIF($C$59:$E$63,"Julio")+COUNTIF($C$25:$I$30,"Julio")+COUNTIF($C$48:$I$51,"Julio")+COUNTIF($C$69:$E$72,"Julio")</f>
        <v>2</v>
      </c>
      <c r="G148" s="40">
        <f t="shared" ref="G148:G149" si="8">+F148+E148+D148</f>
        <v>15</v>
      </c>
      <c r="H148" s="38" t="s">
        <v>11</v>
      </c>
      <c r="I148" s="39">
        <f>COUNTIF($C$54:$I$58,"Julio")-COUNTIF($C$59:$I$63,"Julio")+COUNTIF($C$75:$I$79,"Julio")-COUNTIF($C$80:$I$83,"Julio")+COUNTIF($C$96:$D$100,"Julio")-COUNTIF($C$101:$D$104,"Julio")</f>
        <v>0</v>
      </c>
      <c r="J148" s="39">
        <f>COUNTIF($C$64:$I$68,"Julio")-COUNTIF($C$69:$I$72,"Julio")+COUNTIF($C$84:$I$88,"Julio")-COUNTIF($C$89:$I$93,"Julio")+COUNTIF($C$105:$D$109,"Julio")-COUNTIF($C$110:$D$115,"Julio")</f>
        <v>14</v>
      </c>
      <c r="K148" s="39">
        <f>COUNTIF($C$59:$I$63,"Julio")+COUNTIF($C$80:$I$83,"Julio")+COUNTIF($C$101:$D$104,"Julio")+COUNTIF($C$69:$I$72,"Julio")+COUNTIF($C$89:$I$93,"Julio")+COUNTIF($C$110:$D$115,"Julio")</f>
        <v>2</v>
      </c>
      <c r="L148" s="40">
        <f>+K148+J148+I148</f>
        <v>16</v>
      </c>
      <c r="N148">
        <v>3</v>
      </c>
    </row>
    <row r="149" spans="3:16">
      <c r="C149" t="s">
        <v>8</v>
      </c>
      <c r="D149" s="39">
        <f>COUNTIF($C$9:$I$13,"Joel")-COUNTIF($C$14:$I$19,"Joel")+COUNTIF($C$33:$I$37,"Joel")-COUNTIF($C$38:$I$42,"Joel")+COUNTIF($C$54:$E$58,"Joel")-COUNTIF($C$59:$E$63,"Joel")</f>
        <v>11</v>
      </c>
      <c r="E149" s="39">
        <f>COUNTIF($C$20:$I$24,"Joel")-COUNTIF($C$25:$I$30,"Joel")+COUNTIF($C$43:$I$47,"Joel")-COUNTIF($C$48:$I$51,"Joel")+COUNTIF($C$64:$E$68,"Joel")-COUNTIF($C$69:$E$72,"Joel")</f>
        <v>2</v>
      </c>
      <c r="F149" s="39">
        <f>+COUNTIF($C$14:$I$19,"Joel")+COUNTIF($C$38:$I$42,"Joel")+COUNTIF($C$59:$E$63,"Joel")+COUNTIF($C$25:$I$30,"Joel")+COUNTIF($C$48:$I$51,"Joel")+COUNTIF($C$69:$E$72,"Joel")</f>
        <v>3</v>
      </c>
      <c r="G149" s="40">
        <f t="shared" si="8"/>
        <v>16</v>
      </c>
      <c r="H149" t="s">
        <v>8</v>
      </c>
      <c r="I149" s="39">
        <f>COUNTIF($C$54:$I$58,"Joel")-COUNTIF($C$59:$I$63,"Joel")+COUNTIF($C$75:$I$79,"Joel")-COUNTIF($C$80:$I$83,"Joel")+COUNTIF($C$96:$D$100,"Joel")-COUNTIF($C$101:$D$104,"Joel")</f>
        <v>12</v>
      </c>
      <c r="J149" s="39">
        <f>COUNTIF($C$64:$I$68,"Joel")-COUNTIF($C$69:$I$72,"Joel")+COUNTIF($C$84:$I$88,"Joel")-COUNTIF($C$89:$I$93,"Joel")+COUNTIF($C$105:$D$109,"Joel")-COUNTIF($C$110:$D$115,"Joel")</f>
        <v>3</v>
      </c>
      <c r="K149" s="39">
        <f>COUNTIF($C$59:$I$63,"Joel")+COUNTIF($C$80:$I$83,"Joel")+COUNTIF($C$101:$D$104,"Joel")+COUNTIF($C$69:$I$72,"Joel")+COUNTIF($C$89:$I$93,"Joel")+COUNTIF($C$110:$D$115,"Joel")</f>
        <v>3</v>
      </c>
      <c r="L149" s="41">
        <f t="shared" si="7"/>
        <v>18</v>
      </c>
      <c r="N149">
        <v>3</v>
      </c>
    </row>
    <row r="150" spans="3:16">
      <c r="C150" s="38" t="s">
        <v>6</v>
      </c>
      <c r="D150" s="39">
        <f>COUNTIF($C$9:$I$13,"Jose")-COUNTIF($C$14:$I$19,"Jose")+COUNTIF($C$33:$I$37,"Jose")-COUNTIF($C$38:$I$42,"Jose")+COUNTIF($C$54:$E$58,"Jose")-COUNTIF($C$59:$E$63,"Jose")</f>
        <v>3</v>
      </c>
      <c r="E150" s="39">
        <f>COUNTIF($C$20:$I$24,"Jose")-COUNTIF($C$25:$I$30,"Jose")+COUNTIF($C$43:$I$47,"Jose")-COUNTIF($C$48:$I$51,"Jose")+COUNTIF($C$64:$E$68,"Jose")-COUNTIF($C$69:$E$72,"Jose")</f>
        <v>8</v>
      </c>
      <c r="F150" s="39">
        <f>+COUNTIF($C$14:$I$19,"Jose")+COUNTIF($C$38:$I$42,"Jose")+COUNTIF($C$59:$E$63,"Jose")+COUNTIF($C$25:$I$30,"Jose")+COUNTIF($C$48:$I$51,"Jose")+COUNTIF($C$69:$E$72,"Jose")</f>
        <v>5</v>
      </c>
      <c r="G150" s="40">
        <f>+F150+E150+D150</f>
        <v>16</v>
      </c>
      <c r="H150" s="38" t="s">
        <v>6</v>
      </c>
      <c r="I150" s="39">
        <f>COUNTIF($C$54:$I$58,"Jose")-COUNTIF($C$59:$I$63,"Jose")+COUNTIF($C$75:$I$79,"Jose")-COUNTIF($C$80:$I$83,"Jose")+COUNTIF($C$96:$D$100,"Jose")-COUNTIF($C$101:$D$104,"Jose")</f>
        <v>5</v>
      </c>
      <c r="J150" s="39">
        <f>COUNTIF($C$64:$I$68,"Jose")-COUNTIF($C$69:$I$72,"Jose")+COUNTIF($C$84:$I$88,"Jose")-COUNTIF($C$89:$I$93,"Jose")+COUNTIF($C$105:$D$109,"Jose")-COUNTIF($C$110:$D$115,"Jose")</f>
        <v>13</v>
      </c>
      <c r="K150" s="39">
        <f>COUNTIF($C$59:$I$63,"Jose")+COUNTIF($C$80:$I$83,"Jose")+COUNTIF($C$101:$D$104,"Jose")+COUNTIF($C$69:$I$72,"Jose")+COUNTIF($C$89:$I$93,"Jose")+COUNTIF($C$110:$D$115,"Jose")</f>
        <v>3</v>
      </c>
      <c r="L150" s="40">
        <f t="shared" si="7"/>
        <v>21</v>
      </c>
      <c r="N150">
        <v>3</v>
      </c>
    </row>
    <row r="151" spans="3:16">
      <c r="C151" t="s">
        <v>14</v>
      </c>
      <c r="D151" s="39">
        <f>COUNTIF($C$9:$I$13,"Lester")-COUNTIF($C$14:$I$19,"Lester")+COUNTIF($C$33:$I$37,"Lester")-COUNTIF($C$38:$I$42,"Lester")+COUNTIF($C$54:$E$58,"Lester")-COUNTIF($C$59:$E$63,"Lester")</f>
        <v>3</v>
      </c>
      <c r="E151" s="39">
        <f>COUNTIF($C$20:$I$24,"Lester")-COUNTIF($C$25:$I$30,"Lester")+COUNTIF($C$43:$I$47,"Lester")-COUNTIF($C$48:$I$51,"Lester")+COUNTIF($C$64:$E$68,"Lester")-COUNTIF($C$69:$E$72,"Lester")</f>
        <v>8</v>
      </c>
      <c r="F151" s="39">
        <f>+COUNTIF($C$14:$I$19,"Lester")+COUNTIF($C$38:$I$42,"Lester")+COUNTIF($C$59:$E$63,"Lester")+COUNTIF($C$25:$I$30,"Lester")+COUNTIF($C$48:$I$51,"Lester")+COUNTIF($C$69:$E$72,"Lester")</f>
        <v>4</v>
      </c>
      <c r="G151" s="40">
        <f>+F151+E151+D151</f>
        <v>15</v>
      </c>
      <c r="H151" t="s">
        <v>14</v>
      </c>
      <c r="I151" s="39">
        <f>COUNTIF($C$54:$I$58,"Lester")-COUNTIF($C$59:$I$63,"Lester")+COUNTIF($C$75:$I$79,"Lester")-COUNTIF($C$80:$I$83,"Lester")+COUNTIF($C$96:$D$100,"Lester")-COUNTIF($C$101:$D$104,"Lester")</f>
        <v>0</v>
      </c>
      <c r="J151" s="39">
        <f>COUNTIF($C$64:$I$68,"Lester")-COUNTIF($C$69:$I$72,"Lester")+COUNTIF($C$84:$I$88,"Lester")-COUNTIF($C$89:$I$93,"Lester")+COUNTIF($C$105:$D$109,"Lester")-COUNTIF($C$110:$D$115,"Lester")</f>
        <v>13</v>
      </c>
      <c r="K151" s="39">
        <f>COUNTIF($C$59:$I$63,"Lester")+COUNTIF($C$80:$I$83,"Lester")+COUNTIF($C$101:$D$104,"Lester")+COUNTIF($C$69:$I$72,"Lester")+COUNTIF($C$89:$I$93,"Lester")+COUNTIF($C$110:$D$115,"Lester")</f>
        <v>3</v>
      </c>
      <c r="L151" s="41">
        <f t="shared" si="7"/>
        <v>16</v>
      </c>
    </row>
    <row r="152" spans="3:16">
      <c r="D152" s="2">
        <f>SUM(D144:D151)</f>
        <v>52</v>
      </c>
      <c r="E152" s="2">
        <f t="shared" ref="E152:G152" si="9">SUM(E144:E151)</f>
        <v>46</v>
      </c>
      <c r="F152" s="2">
        <f t="shared" si="9"/>
        <v>23</v>
      </c>
      <c r="G152" s="2">
        <f t="shared" si="9"/>
        <v>121</v>
      </c>
      <c r="I152" s="2">
        <f t="shared" ref="I152:L152" si="10">SUM(I144:I151)</f>
        <v>52</v>
      </c>
      <c r="J152" s="2">
        <f>SUM(J144:J151)</f>
        <v>55</v>
      </c>
      <c r="K152" s="2">
        <f t="shared" si="10"/>
        <v>20</v>
      </c>
      <c r="L152" s="2">
        <f t="shared" si="10"/>
        <v>127</v>
      </c>
    </row>
    <row r="157" spans="3:16">
      <c r="C157" t="s">
        <v>36</v>
      </c>
      <c r="E157">
        <f>+F152+K152</f>
        <v>43</v>
      </c>
    </row>
    <row r="159" spans="3:16">
      <c r="C159" t="s">
        <v>37</v>
      </c>
      <c r="E159">
        <f>7*28</f>
        <v>196</v>
      </c>
    </row>
  </sheetData>
  <mergeCells count="33">
    <mergeCell ref="A117:A136"/>
    <mergeCell ref="C142:G142"/>
    <mergeCell ref="I142:M142"/>
    <mergeCell ref="A74:A93"/>
    <mergeCell ref="B75:B79"/>
    <mergeCell ref="B84:B88"/>
    <mergeCell ref="B89:B90"/>
    <mergeCell ref="B91:B92"/>
    <mergeCell ref="B96:B100"/>
    <mergeCell ref="B105:B109"/>
    <mergeCell ref="B110:B112"/>
    <mergeCell ref="B113:B114"/>
    <mergeCell ref="B118:B122"/>
    <mergeCell ref="B127:B131"/>
    <mergeCell ref="B132:B134"/>
    <mergeCell ref="B135:B136"/>
    <mergeCell ref="A95:A114"/>
    <mergeCell ref="A32:A51"/>
    <mergeCell ref="B33:B37"/>
    <mergeCell ref="B40:B41"/>
    <mergeCell ref="B43:B47"/>
    <mergeCell ref="B48:B49"/>
    <mergeCell ref="A53:A72"/>
    <mergeCell ref="B54:B58"/>
    <mergeCell ref="B61:B62"/>
    <mergeCell ref="B64:B68"/>
    <mergeCell ref="B69:B70"/>
    <mergeCell ref="B2:I2"/>
    <mergeCell ref="B3:I3"/>
    <mergeCell ref="A8:A30"/>
    <mergeCell ref="B9:B13"/>
    <mergeCell ref="B20:B24"/>
    <mergeCell ref="B25:B27"/>
  </mergeCells>
  <pageMargins left="0.7" right="0.7" top="0.75" bottom="0.75" header="0.3" footer="0.3"/>
  <pageSetup paperSize="9" scale="2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9928-DC8B-1D4C-9E4F-94D93CDBF8B6}">
  <sheetPr>
    <pageSetUpPr fitToPage="1"/>
  </sheetPr>
  <dimension ref="A2:T159"/>
  <sheetViews>
    <sheetView tabSelected="1" topLeftCell="A3" workbookViewId="0">
      <selection activeCell="J133" sqref="J133"/>
    </sheetView>
  </sheetViews>
  <sheetFormatPr baseColWidth="10" defaultColWidth="9.125" defaultRowHeight="15.75" outlineLevelCol="1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12.625" customWidth="1"/>
    <col min="18" max="18" width="8.125" bestFit="1" customWidth="1"/>
    <col min="19" max="19" width="10.5" bestFit="1" customWidth="1"/>
    <col min="21" max="24" width="6.5" customWidth="1"/>
  </cols>
  <sheetData>
    <row r="2" spans="1:18" ht="21" customHeight="1">
      <c r="B2" s="141" t="s">
        <v>0</v>
      </c>
      <c r="C2" s="141"/>
      <c r="D2" s="141"/>
      <c r="E2" s="141"/>
      <c r="F2" s="141"/>
      <c r="G2" s="141"/>
      <c r="H2" s="141"/>
      <c r="I2" s="141"/>
      <c r="K2" s="1"/>
    </row>
    <row r="3" spans="1:18" ht="18.75" customHeight="1">
      <c r="B3" s="142" t="s">
        <v>38</v>
      </c>
      <c r="C3" s="142"/>
      <c r="D3" s="142"/>
      <c r="E3" s="142"/>
      <c r="F3" s="142"/>
      <c r="G3" s="142"/>
      <c r="H3" s="142"/>
      <c r="I3" s="142"/>
      <c r="K3" s="1"/>
    </row>
    <row r="4" spans="1:18">
      <c r="O4" s="2"/>
    </row>
    <row r="5" spans="1:18" ht="18.75">
      <c r="B5" s="3" t="s">
        <v>1</v>
      </c>
      <c r="N5" t="s">
        <v>39</v>
      </c>
    </row>
    <row r="6" spans="1:18" ht="18.75" hidden="1">
      <c r="B6" s="3"/>
    </row>
    <row r="7" spans="1:18" hidden="1">
      <c r="L7" s="4"/>
      <c r="N7" s="5" t="s">
        <v>40</v>
      </c>
      <c r="O7" s="5" t="s">
        <v>41</v>
      </c>
      <c r="P7" s="4" t="s">
        <v>42</v>
      </c>
      <c r="Q7" t="s">
        <v>43</v>
      </c>
      <c r="R7" s="42">
        <v>46143</v>
      </c>
    </row>
    <row r="8" spans="1:18" hidden="1">
      <c r="A8" s="143" t="s">
        <v>2</v>
      </c>
      <c r="B8" s="6" t="s">
        <v>3</v>
      </c>
      <c r="C8" s="6" t="s">
        <v>142</v>
      </c>
      <c r="D8" s="6" t="s">
        <v>143</v>
      </c>
      <c r="E8" s="6" t="s">
        <v>23</v>
      </c>
      <c r="F8" s="43" t="s">
        <v>24</v>
      </c>
      <c r="G8" s="43" t="s">
        <v>25</v>
      </c>
      <c r="H8" s="43" t="s">
        <v>44</v>
      </c>
      <c r="I8" s="6" t="s">
        <v>26</v>
      </c>
      <c r="L8" s="4"/>
      <c r="M8" s="7" t="s">
        <v>4</v>
      </c>
      <c r="N8" s="8"/>
      <c r="O8" s="8"/>
      <c r="P8" s="4"/>
      <c r="Q8" s="4"/>
    </row>
    <row r="9" spans="1:18" hidden="1">
      <c r="A9" s="143"/>
      <c r="B9" s="138" t="s">
        <v>5</v>
      </c>
      <c r="C9" s="9"/>
      <c r="D9" s="9"/>
      <c r="E9" s="9" t="s">
        <v>6</v>
      </c>
      <c r="F9" s="9" t="s">
        <v>6</v>
      </c>
      <c r="G9" s="10" t="s">
        <v>6</v>
      </c>
      <c r="H9" s="10" t="s">
        <v>6</v>
      </c>
      <c r="I9" s="10" t="s">
        <v>6</v>
      </c>
      <c r="K9" s="11"/>
      <c r="L9" s="11"/>
      <c r="M9" t="s">
        <v>7</v>
      </c>
      <c r="N9" s="12">
        <v>46101</v>
      </c>
      <c r="O9" s="12"/>
      <c r="P9" s="4"/>
      <c r="Q9" s="4"/>
    </row>
    <row r="10" spans="1:18" hidden="1">
      <c r="A10" s="143"/>
      <c r="B10" s="139"/>
      <c r="C10" s="9"/>
      <c r="D10" s="10"/>
      <c r="E10" s="10" t="s">
        <v>7</v>
      </c>
      <c r="F10" s="10" t="s">
        <v>7</v>
      </c>
      <c r="G10" s="10" t="s">
        <v>7</v>
      </c>
      <c r="H10" s="9" t="s">
        <v>9</v>
      </c>
      <c r="I10" s="9" t="s">
        <v>9</v>
      </c>
      <c r="K10" s="11"/>
      <c r="L10" s="11"/>
      <c r="M10" s="7" t="s">
        <v>10</v>
      </c>
      <c r="N10" s="13">
        <v>46095</v>
      </c>
      <c r="O10" s="13">
        <v>46122</v>
      </c>
      <c r="P10" s="44">
        <v>46143</v>
      </c>
      <c r="Q10" s="4"/>
    </row>
    <row r="11" spans="1:18" hidden="1">
      <c r="A11" s="143"/>
      <c r="B11" s="139"/>
      <c r="C11" s="10"/>
      <c r="D11" s="10"/>
      <c r="E11" s="9" t="s">
        <v>9</v>
      </c>
      <c r="F11" s="9" t="s">
        <v>9</v>
      </c>
      <c r="G11" s="9" t="s">
        <v>9</v>
      </c>
      <c r="H11" s="9" t="s">
        <v>8</v>
      </c>
      <c r="I11" s="9" t="s">
        <v>8</v>
      </c>
      <c r="K11" s="11"/>
      <c r="L11" s="11"/>
      <c r="M11" t="s">
        <v>9</v>
      </c>
      <c r="N11" s="14">
        <v>46094</v>
      </c>
      <c r="O11" s="14">
        <v>46123</v>
      </c>
      <c r="P11" s="44">
        <v>46137</v>
      </c>
      <c r="Q11" s="4"/>
    </row>
    <row r="12" spans="1:18" hidden="1">
      <c r="A12" s="143"/>
      <c r="B12" s="139"/>
      <c r="C12" s="9"/>
      <c r="D12" s="9"/>
      <c r="E12" s="10" t="s">
        <v>11</v>
      </c>
      <c r="F12" s="10" t="s">
        <v>8</v>
      </c>
      <c r="G12" s="10" t="s">
        <v>8</v>
      </c>
      <c r="H12" s="9"/>
      <c r="I12" s="9"/>
      <c r="K12" s="11"/>
      <c r="L12" s="11"/>
      <c r="M12" s="7" t="s">
        <v>11</v>
      </c>
      <c r="N12" s="13">
        <v>46102</v>
      </c>
      <c r="O12" s="13">
        <v>46136</v>
      </c>
      <c r="P12" s="4"/>
      <c r="Q12" s="4"/>
    </row>
    <row r="13" spans="1:18" hidden="1">
      <c r="A13" s="143"/>
      <c r="B13" s="140"/>
      <c r="C13" s="9"/>
      <c r="D13" s="9"/>
      <c r="E13" s="9" t="s">
        <v>14</v>
      </c>
      <c r="F13" s="9" t="s">
        <v>14</v>
      </c>
      <c r="G13" s="9" t="s">
        <v>14</v>
      </c>
      <c r="H13" s="9"/>
      <c r="I13" s="9"/>
      <c r="K13" s="11"/>
      <c r="L13" s="11"/>
      <c r="M13" t="s">
        <v>8</v>
      </c>
      <c r="N13" s="14">
        <v>46108</v>
      </c>
      <c r="O13" s="14">
        <v>46129</v>
      </c>
      <c r="P13" s="44">
        <v>46115</v>
      </c>
      <c r="Q13" s="4"/>
    </row>
    <row r="14" spans="1:18" hidden="1">
      <c r="A14" s="143"/>
      <c r="B14" s="18" t="s">
        <v>12</v>
      </c>
      <c r="C14" s="19"/>
      <c r="D14" s="20"/>
      <c r="E14" s="20" t="s">
        <v>11</v>
      </c>
      <c r="F14" s="20" t="s">
        <v>8</v>
      </c>
      <c r="G14" s="21"/>
      <c r="H14" s="19"/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</row>
    <row r="15" spans="1:18" hidden="1">
      <c r="A15" s="143"/>
      <c r="B15" s="18"/>
      <c r="C15" s="19"/>
      <c r="D15" s="19"/>
      <c r="E15" s="19"/>
      <c r="F15" s="19"/>
      <c r="G15" s="19"/>
      <c r="H15" s="19"/>
      <c r="I15" s="19"/>
      <c r="M15" s="7"/>
      <c r="N15" s="13"/>
      <c r="O15" s="13"/>
      <c r="P15" s="4"/>
      <c r="Q15" s="4"/>
    </row>
    <row r="16" spans="1:18" hidden="1">
      <c r="A16" s="143"/>
      <c r="B16" s="18"/>
      <c r="C16" s="19"/>
      <c r="D16" s="19"/>
      <c r="E16" s="23"/>
      <c r="F16" s="19"/>
      <c r="I16" s="19"/>
      <c r="M16" t="s">
        <v>14</v>
      </c>
      <c r="N16" s="12">
        <v>46109</v>
      </c>
      <c r="O16" s="12">
        <v>46110</v>
      </c>
      <c r="P16" s="44">
        <v>46116</v>
      </c>
      <c r="Q16" s="4"/>
    </row>
    <row r="17" spans="1:20" hidden="1">
      <c r="A17" s="143"/>
      <c r="B17" s="22" t="s">
        <v>15</v>
      </c>
      <c r="C17" s="19"/>
      <c r="D17" s="19"/>
      <c r="E17" s="23"/>
      <c r="F17" s="23"/>
      <c r="G17" s="22" t="s">
        <v>6</v>
      </c>
      <c r="H17" s="22" t="s">
        <v>6</v>
      </c>
      <c r="I17" s="19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</row>
    <row r="18" spans="1:20" hidden="1">
      <c r="A18" s="143"/>
      <c r="B18" s="22"/>
      <c r="C18" s="9"/>
      <c r="D18" s="9"/>
      <c r="E18" s="9"/>
      <c r="F18" s="9"/>
      <c r="G18" s="22" t="s">
        <v>8</v>
      </c>
      <c r="H18" s="23"/>
      <c r="I18" s="117"/>
      <c r="M18" s="7"/>
      <c r="N18" s="24"/>
      <c r="O18" s="24"/>
      <c r="P18" s="4"/>
      <c r="Q18" s="4"/>
    </row>
    <row r="19" spans="1:20" hidden="1">
      <c r="A19" s="143"/>
      <c r="B19" s="25" t="s">
        <v>17</v>
      </c>
      <c r="C19" s="10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20" hidden="1">
      <c r="A20" s="143"/>
      <c r="B20" s="138" t="s">
        <v>18</v>
      </c>
      <c r="C20" s="9"/>
      <c r="D20" s="9"/>
      <c r="E20" s="9" t="s">
        <v>16</v>
      </c>
      <c r="F20" s="9" t="s">
        <v>16</v>
      </c>
      <c r="G20" s="10" t="s">
        <v>16</v>
      </c>
      <c r="H20" s="10" t="s">
        <v>16</v>
      </c>
      <c r="I20" s="117" t="s">
        <v>16</v>
      </c>
      <c r="L20" s="11"/>
    </row>
    <row r="21" spans="1:20" hidden="1">
      <c r="A21" s="143"/>
      <c r="B21" s="139"/>
      <c r="C21" s="9"/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L21" s="11"/>
    </row>
    <row r="22" spans="1:20" hidden="1">
      <c r="A22" s="143"/>
      <c r="B22" s="139"/>
      <c r="C22" s="9"/>
      <c r="D22" s="9"/>
      <c r="E22" s="9" t="s">
        <v>8</v>
      </c>
      <c r="F22" s="9" t="s">
        <v>11</v>
      </c>
      <c r="G22" s="9" t="s">
        <v>11</v>
      </c>
      <c r="H22" s="9" t="s">
        <v>11</v>
      </c>
      <c r="I22" s="9" t="s">
        <v>11</v>
      </c>
      <c r="K22" s="26"/>
      <c r="L22" s="11"/>
    </row>
    <row r="23" spans="1:20" hidden="1">
      <c r="A23" s="143"/>
      <c r="B23" s="139"/>
      <c r="C23" s="27"/>
      <c r="D23" s="27"/>
      <c r="E23" s="9"/>
      <c r="F23" s="9"/>
      <c r="G23" s="9"/>
      <c r="H23" s="118" t="s">
        <v>7</v>
      </c>
      <c r="I23" s="118" t="s">
        <v>7</v>
      </c>
      <c r="K23" s="26"/>
      <c r="L23" s="11"/>
    </row>
    <row r="24" spans="1:20" hidden="1">
      <c r="A24" s="143"/>
      <c r="B24" s="140"/>
      <c r="C24" s="27"/>
      <c r="D24" s="27"/>
      <c r="E24" s="9"/>
      <c r="F24" s="9"/>
      <c r="G24" s="9"/>
      <c r="H24" s="10" t="s">
        <v>14</v>
      </c>
      <c r="I24" s="10" t="s">
        <v>14</v>
      </c>
      <c r="K24" s="26"/>
      <c r="L24" s="11"/>
    </row>
    <row r="25" spans="1:20" hidden="1">
      <c r="A25" s="143"/>
      <c r="B25" s="144" t="s">
        <v>12</v>
      </c>
      <c r="C25" s="28"/>
      <c r="D25" s="27"/>
      <c r="E25" s="27"/>
      <c r="F25" s="27"/>
      <c r="G25" s="27"/>
      <c r="H25" s="29"/>
      <c r="I25" s="20" t="s">
        <v>16</v>
      </c>
      <c r="K25" s="26"/>
    </row>
    <row r="26" spans="1:20" hidden="1">
      <c r="A26" s="143"/>
      <c r="B26" s="145"/>
      <c r="C26" s="28"/>
      <c r="D26" s="27"/>
      <c r="E26" s="27"/>
      <c r="F26" s="27"/>
      <c r="G26" s="27"/>
      <c r="H26" s="29"/>
      <c r="I26" s="119" t="s">
        <v>7</v>
      </c>
      <c r="K26" s="26"/>
    </row>
    <row r="27" spans="1:20" hidden="1">
      <c r="A27" s="143"/>
      <c r="B27" s="146"/>
      <c r="C27" s="19"/>
      <c r="D27" s="30"/>
      <c r="E27" s="27"/>
      <c r="F27" s="27"/>
      <c r="G27" s="27"/>
      <c r="H27" s="29"/>
      <c r="I27" s="20" t="s">
        <v>14</v>
      </c>
      <c r="K27" s="26"/>
    </row>
    <row r="28" spans="1:20" hidden="1">
      <c r="A28" s="143"/>
      <c r="B28" s="22" t="s">
        <v>15</v>
      </c>
      <c r="C28" s="19"/>
      <c r="D28" s="30"/>
      <c r="E28" s="27"/>
      <c r="F28" s="19"/>
      <c r="G28" s="22" t="s">
        <v>16</v>
      </c>
      <c r="H28" s="22" t="s">
        <v>16</v>
      </c>
      <c r="I28" s="33"/>
      <c r="K28" s="26"/>
    </row>
    <row r="29" spans="1:20" hidden="1">
      <c r="A29" s="143"/>
      <c r="B29" s="22"/>
      <c r="C29" s="19"/>
      <c r="D29" s="30"/>
      <c r="E29" s="27"/>
      <c r="F29" s="19"/>
      <c r="G29" s="23"/>
      <c r="H29" s="22" t="s">
        <v>14</v>
      </c>
      <c r="I29" s="33"/>
      <c r="K29" s="26"/>
    </row>
    <row r="30" spans="1:20" hidden="1">
      <c r="A30" s="143"/>
      <c r="B30" s="25" t="s">
        <v>17</v>
      </c>
      <c r="C30" s="19"/>
      <c r="D30" s="30"/>
      <c r="E30" s="27"/>
      <c r="F30" s="19"/>
      <c r="G30" s="23"/>
      <c r="H30" s="19"/>
      <c r="I30" s="33"/>
      <c r="K30" s="26"/>
    </row>
    <row r="31" spans="1:20">
      <c r="B31" s="4"/>
      <c r="C31" s="15">
        <f t="shared" ref="C31:H31" si="0">COUNTA(C9:C13,C20:C24)</f>
        <v>0</v>
      </c>
      <c r="D31" s="15">
        <f t="shared" si="0"/>
        <v>0</v>
      </c>
      <c r="E31" s="15">
        <f t="shared" si="0"/>
        <v>8</v>
      </c>
      <c r="F31" s="15">
        <f t="shared" si="0"/>
        <v>8</v>
      </c>
      <c r="G31" s="15">
        <f t="shared" si="0"/>
        <v>8</v>
      </c>
      <c r="H31" s="15">
        <f t="shared" si="0"/>
        <v>8</v>
      </c>
      <c r="I31" s="15">
        <f>COUNTA(I9:I13,I20:I26)</f>
        <v>10</v>
      </c>
      <c r="K31" s="26"/>
      <c r="O31" t="s">
        <v>39</v>
      </c>
    </row>
    <row r="32" spans="1:20" ht="15.95" customHeight="1">
      <c r="A32" s="127" t="s">
        <v>2</v>
      </c>
      <c r="B32" s="6" t="s">
        <v>3</v>
      </c>
      <c r="C32" s="6" t="s">
        <v>49</v>
      </c>
      <c r="D32" s="6" t="s">
        <v>48</v>
      </c>
      <c r="E32" s="6" t="s">
        <v>47</v>
      </c>
      <c r="F32" s="6" t="s">
        <v>50</v>
      </c>
      <c r="G32" s="6" t="s">
        <v>51</v>
      </c>
      <c r="H32" s="6" t="s">
        <v>82</v>
      </c>
      <c r="I32" s="6" t="s">
        <v>83</v>
      </c>
      <c r="K32" s="26"/>
      <c r="O32" s="55" t="s">
        <v>40</v>
      </c>
      <c r="P32" s="55" t="s">
        <v>41</v>
      </c>
      <c r="Q32" s="4" t="s">
        <v>42</v>
      </c>
      <c r="R32" s="4" t="s">
        <v>43</v>
      </c>
      <c r="S32" s="44">
        <v>46143</v>
      </c>
      <c r="T32" t="s">
        <v>45</v>
      </c>
    </row>
    <row r="33" spans="1:20">
      <c r="A33" s="127"/>
      <c r="B33" s="138" t="s">
        <v>5</v>
      </c>
      <c r="C33" s="9" t="s">
        <v>9</v>
      </c>
      <c r="D33" s="9" t="s">
        <v>9</v>
      </c>
      <c r="E33" s="9" t="s">
        <v>9</v>
      </c>
      <c r="F33" s="9" t="s">
        <v>9</v>
      </c>
      <c r="G33" s="9" t="s">
        <v>9</v>
      </c>
      <c r="H33" s="58" t="s">
        <v>9</v>
      </c>
      <c r="I33" s="58" t="s">
        <v>9</v>
      </c>
      <c r="K33" s="26"/>
      <c r="N33" s="7" t="s">
        <v>4</v>
      </c>
      <c r="O33" s="8"/>
      <c r="P33" s="8"/>
      <c r="Q33" s="4"/>
      <c r="R33" s="4"/>
      <c r="T33">
        <v>0</v>
      </c>
    </row>
    <row r="34" spans="1:20">
      <c r="A34" s="127"/>
      <c r="B34" s="139"/>
      <c r="C34" s="9" t="s">
        <v>10</v>
      </c>
      <c r="D34" s="9" t="s">
        <v>8</v>
      </c>
      <c r="E34" s="9" t="s">
        <v>8</v>
      </c>
      <c r="F34" s="9" t="s">
        <v>8</v>
      </c>
      <c r="G34" s="64" t="s">
        <v>7</v>
      </c>
      <c r="H34" s="58" t="s">
        <v>7</v>
      </c>
      <c r="I34" s="58" t="s">
        <v>7</v>
      </c>
      <c r="K34" s="26"/>
      <c r="N34" t="s">
        <v>7</v>
      </c>
      <c r="O34" s="12">
        <v>46101</v>
      </c>
      <c r="P34" s="12" t="s">
        <v>46</v>
      </c>
      <c r="Q34" s="12" t="s">
        <v>46</v>
      </c>
      <c r="R34" s="12" t="s">
        <v>46</v>
      </c>
      <c r="S34" s="12" t="s">
        <v>46</v>
      </c>
      <c r="T34">
        <v>0</v>
      </c>
    </row>
    <row r="35" spans="1:20">
      <c r="A35" s="127"/>
      <c r="B35" s="139"/>
      <c r="C35" s="9" t="s">
        <v>8</v>
      </c>
      <c r="D35" s="58" t="s">
        <v>7</v>
      </c>
      <c r="E35" s="58" t="s">
        <v>7</v>
      </c>
      <c r="F35" s="58" t="s">
        <v>7</v>
      </c>
      <c r="G35" s="17" t="s">
        <v>10</v>
      </c>
      <c r="H35" s="9" t="s">
        <v>10</v>
      </c>
      <c r="I35" s="9" t="s">
        <v>10</v>
      </c>
      <c r="K35" s="26"/>
      <c r="N35" s="7" t="s">
        <v>10</v>
      </c>
      <c r="O35" s="13">
        <v>46095</v>
      </c>
      <c r="P35" s="13">
        <v>46122</v>
      </c>
      <c r="Q35" s="44">
        <v>46143</v>
      </c>
      <c r="R35" s="44">
        <v>46151</v>
      </c>
      <c r="S35" s="42"/>
      <c r="T35">
        <v>1</v>
      </c>
    </row>
    <row r="36" spans="1:20">
      <c r="A36" s="127"/>
      <c r="B36" s="139"/>
      <c r="C36" s="9"/>
      <c r="D36" s="9" t="s">
        <v>10</v>
      </c>
      <c r="E36" s="58" t="s">
        <v>14</v>
      </c>
      <c r="F36" s="58" t="s">
        <v>10</v>
      </c>
      <c r="G36" s="17" t="s">
        <v>8</v>
      </c>
      <c r="H36" s="9" t="s">
        <v>16</v>
      </c>
      <c r="I36" s="9" t="s">
        <v>16</v>
      </c>
      <c r="K36" s="26"/>
      <c r="N36" t="s">
        <v>9</v>
      </c>
      <c r="O36" s="14">
        <v>46094</v>
      </c>
      <c r="P36" s="14">
        <v>46123</v>
      </c>
      <c r="Q36" s="44">
        <v>46137</v>
      </c>
      <c r="R36" s="44">
        <v>46171</v>
      </c>
      <c r="T36">
        <v>1</v>
      </c>
    </row>
    <row r="37" spans="1:20">
      <c r="A37" s="127"/>
      <c r="B37" s="140"/>
      <c r="C37" s="9"/>
      <c r="D37" s="58" t="s">
        <v>16</v>
      </c>
      <c r="E37" s="9" t="s">
        <v>16</v>
      </c>
      <c r="F37" s="9" t="s">
        <v>16</v>
      </c>
      <c r="G37" s="9" t="s">
        <v>16</v>
      </c>
      <c r="H37" s="9" t="s">
        <v>8</v>
      </c>
      <c r="I37" s="9"/>
      <c r="K37" s="26"/>
      <c r="N37" s="7" t="s">
        <v>11</v>
      </c>
      <c r="O37" s="13">
        <v>46102</v>
      </c>
      <c r="P37" s="13">
        <v>46136</v>
      </c>
      <c r="Q37" s="44">
        <v>46150</v>
      </c>
      <c r="R37" s="44">
        <v>46164</v>
      </c>
      <c r="S37" s="42">
        <v>46165</v>
      </c>
      <c r="T37">
        <v>0</v>
      </c>
    </row>
    <row r="38" spans="1:20">
      <c r="A38" s="127"/>
      <c r="B38" s="18" t="s">
        <v>12</v>
      </c>
      <c r="C38" s="19"/>
      <c r="D38" s="20" t="s">
        <v>16</v>
      </c>
      <c r="E38" s="20" t="s">
        <v>14</v>
      </c>
      <c r="F38" s="20" t="s">
        <v>10</v>
      </c>
      <c r="G38" s="21"/>
      <c r="H38" s="19"/>
      <c r="I38" s="20" t="s">
        <v>9</v>
      </c>
      <c r="K38" s="26"/>
      <c r="N38" t="s">
        <v>8</v>
      </c>
      <c r="O38" s="14">
        <v>46108</v>
      </c>
      <c r="P38" s="14">
        <v>46129</v>
      </c>
      <c r="Q38" s="44">
        <v>46115</v>
      </c>
      <c r="R38" s="44">
        <v>46158</v>
      </c>
      <c r="T38">
        <v>1</v>
      </c>
    </row>
    <row r="39" spans="1:20">
      <c r="A39" s="127"/>
      <c r="B39" s="31"/>
      <c r="C39" s="19"/>
      <c r="D39" s="19"/>
      <c r="E39" s="19"/>
      <c r="F39" s="19"/>
      <c r="G39" s="19"/>
      <c r="H39" s="19"/>
      <c r="I39" s="19"/>
      <c r="K39" s="26"/>
      <c r="N39" s="7" t="s">
        <v>13</v>
      </c>
      <c r="O39" s="13">
        <v>46084</v>
      </c>
      <c r="P39" s="13">
        <v>46115</v>
      </c>
      <c r="Q39" s="44">
        <v>46130</v>
      </c>
      <c r="R39" s="44">
        <v>46116</v>
      </c>
      <c r="S39" s="42">
        <v>46172</v>
      </c>
      <c r="T39">
        <v>0</v>
      </c>
    </row>
    <row r="40" spans="1:20">
      <c r="A40" s="127"/>
      <c r="B40" s="136" t="s">
        <v>15</v>
      </c>
      <c r="C40" s="19"/>
      <c r="D40" s="19"/>
      <c r="E40" s="19"/>
      <c r="F40" s="19"/>
      <c r="G40" s="19"/>
      <c r="H40" s="65" t="s">
        <v>9</v>
      </c>
      <c r="I40" s="19"/>
      <c r="K40" s="26"/>
      <c r="N40" s="7"/>
      <c r="O40" s="13"/>
      <c r="P40" s="13"/>
      <c r="Q40" s="4"/>
      <c r="R40" s="4"/>
    </row>
    <row r="41" spans="1:20">
      <c r="A41" s="127"/>
      <c r="B41" s="137"/>
      <c r="C41" s="19"/>
      <c r="D41" s="19"/>
      <c r="E41" s="19"/>
      <c r="F41" s="19"/>
      <c r="G41" s="19"/>
      <c r="H41" s="19"/>
      <c r="I41" s="19"/>
      <c r="K41" s="26"/>
      <c r="N41" t="s">
        <v>14</v>
      </c>
      <c r="O41" s="12">
        <v>46109</v>
      </c>
      <c r="P41" s="12">
        <v>46110</v>
      </c>
      <c r="Q41" s="44">
        <v>46116</v>
      </c>
      <c r="R41" s="42">
        <v>46157</v>
      </c>
      <c r="S41" s="42"/>
      <c r="T41">
        <v>1</v>
      </c>
    </row>
    <row r="42" spans="1:20">
      <c r="A42" s="127"/>
      <c r="B42" s="25" t="s">
        <v>17</v>
      </c>
      <c r="C42" s="19"/>
      <c r="D42" s="19"/>
      <c r="E42" s="19"/>
      <c r="F42" s="19"/>
      <c r="G42" s="19"/>
      <c r="H42" s="19"/>
      <c r="I42" s="19"/>
      <c r="K42" s="26"/>
      <c r="N42" s="7" t="s">
        <v>16</v>
      </c>
      <c r="O42" s="24">
        <v>46088</v>
      </c>
      <c r="P42" s="24">
        <v>46116</v>
      </c>
      <c r="Q42" s="44">
        <v>46144</v>
      </c>
      <c r="R42" s="44">
        <v>46115</v>
      </c>
      <c r="S42" s="42">
        <v>46137</v>
      </c>
      <c r="T42">
        <v>0</v>
      </c>
    </row>
    <row r="43" spans="1:20">
      <c r="A43" s="127"/>
      <c r="B43" s="128" t="s">
        <v>18</v>
      </c>
      <c r="C43" s="9" t="s">
        <v>11</v>
      </c>
      <c r="D43" s="9" t="s">
        <v>11</v>
      </c>
      <c r="E43" s="9" t="s">
        <v>11</v>
      </c>
      <c r="F43" s="9" t="s">
        <v>11</v>
      </c>
      <c r="G43" s="9" t="s">
        <v>11</v>
      </c>
      <c r="H43" s="9" t="s">
        <v>11</v>
      </c>
      <c r="I43" s="9" t="s">
        <v>6</v>
      </c>
      <c r="K43" s="26"/>
      <c r="N43" s="7"/>
      <c r="O43" s="24"/>
      <c r="P43" s="24"/>
      <c r="Q43" s="4"/>
      <c r="R43" s="4"/>
    </row>
    <row r="44" spans="1:20">
      <c r="A44" s="127"/>
      <c r="B44" s="129"/>
      <c r="C44" s="58" t="s">
        <v>6</v>
      </c>
      <c r="D44" s="9" t="s">
        <v>6</v>
      </c>
      <c r="E44" s="9" t="s">
        <v>6</v>
      </c>
      <c r="F44" s="9" t="s">
        <v>6</v>
      </c>
      <c r="G44" s="9" t="s">
        <v>6</v>
      </c>
      <c r="H44" s="17" t="s">
        <v>6</v>
      </c>
      <c r="I44" s="9" t="s">
        <v>14</v>
      </c>
      <c r="K44" s="26"/>
      <c r="O44" s="4"/>
      <c r="P44" s="4"/>
      <c r="Q44" s="4"/>
      <c r="R44" s="4"/>
    </row>
    <row r="45" spans="1:20">
      <c r="A45" s="127"/>
      <c r="B45" s="129"/>
      <c r="C45" s="9" t="s">
        <v>14</v>
      </c>
      <c r="D45" s="9" t="s">
        <v>14</v>
      </c>
      <c r="E45" s="9" t="s">
        <v>10</v>
      </c>
      <c r="F45" s="9" t="s">
        <v>14</v>
      </c>
      <c r="G45" s="9" t="s">
        <v>14</v>
      </c>
      <c r="H45" s="9" t="s">
        <v>14</v>
      </c>
      <c r="I45" s="58" t="s">
        <v>11</v>
      </c>
      <c r="K45" s="26"/>
    </row>
    <row r="46" spans="1:20">
      <c r="A46" s="127"/>
      <c r="B46" s="129"/>
      <c r="C46" s="58" t="s">
        <v>7</v>
      </c>
      <c r="D46" s="9"/>
      <c r="E46" s="9"/>
      <c r="F46" s="9"/>
      <c r="G46" s="9"/>
      <c r="H46" s="64" t="s">
        <v>8</v>
      </c>
      <c r="I46" s="58" t="s">
        <v>8</v>
      </c>
      <c r="K46" s="26"/>
    </row>
    <row r="47" spans="1:20">
      <c r="A47" s="127"/>
      <c r="B47" s="130"/>
      <c r="C47" s="9" t="s">
        <v>16</v>
      </c>
      <c r="D47" s="9"/>
      <c r="E47" s="9"/>
      <c r="F47" s="9"/>
      <c r="G47" s="9"/>
      <c r="H47" s="9"/>
      <c r="I47" s="9"/>
      <c r="K47" s="26"/>
    </row>
    <row r="48" spans="1:20">
      <c r="A48" s="127"/>
      <c r="B48" s="131" t="s">
        <v>12</v>
      </c>
      <c r="C48" s="18" t="s">
        <v>6</v>
      </c>
      <c r="D48" s="19"/>
      <c r="E48" s="27"/>
      <c r="F48" s="27"/>
      <c r="G48" s="27"/>
      <c r="H48" s="29"/>
      <c r="I48" s="20" t="s">
        <v>11</v>
      </c>
      <c r="K48" s="26"/>
    </row>
    <row r="49" spans="1:18">
      <c r="A49" s="127"/>
      <c r="B49" s="133"/>
      <c r="C49" s="28"/>
      <c r="D49" s="19"/>
      <c r="E49" s="27"/>
      <c r="F49" s="27"/>
      <c r="G49" s="27"/>
      <c r="H49" s="29"/>
      <c r="I49" s="120" t="s">
        <v>8</v>
      </c>
      <c r="K49" s="26"/>
    </row>
    <row r="50" spans="1:18">
      <c r="A50" s="127"/>
      <c r="B50" s="22" t="s">
        <v>15</v>
      </c>
      <c r="C50" s="28"/>
      <c r="D50" s="28"/>
      <c r="E50" s="28"/>
      <c r="F50" s="28"/>
      <c r="G50" s="28"/>
      <c r="H50" s="27"/>
      <c r="I50" s="33"/>
      <c r="K50" s="26"/>
    </row>
    <row r="51" spans="1:18">
      <c r="A51" s="127"/>
      <c r="B51" s="25" t="s">
        <v>17</v>
      </c>
      <c r="C51" s="28"/>
      <c r="D51" s="28"/>
      <c r="E51" s="28"/>
      <c r="F51" s="28"/>
      <c r="G51" s="28"/>
      <c r="H51" s="27"/>
      <c r="I51" s="33"/>
      <c r="K51" s="26"/>
    </row>
    <row r="52" spans="1:18">
      <c r="B52" s="4"/>
      <c r="C52" s="15">
        <f>COUNTA(C33:C37,C43:C47)</f>
        <v>8</v>
      </c>
      <c r="D52" s="15">
        <f t="shared" ref="D52:I52" si="1">COUNTA(D33:D37,D43:D47)</f>
        <v>8</v>
      </c>
      <c r="E52" s="15">
        <f t="shared" si="1"/>
        <v>8</v>
      </c>
      <c r="F52" s="15">
        <f t="shared" si="1"/>
        <v>8</v>
      </c>
      <c r="G52" s="15">
        <f t="shared" si="1"/>
        <v>8</v>
      </c>
      <c r="H52" s="15">
        <f t="shared" si="1"/>
        <v>9</v>
      </c>
      <c r="I52" s="15">
        <f t="shared" si="1"/>
        <v>8</v>
      </c>
      <c r="K52" s="26"/>
    </row>
    <row r="53" spans="1:18" ht="15.95" customHeight="1">
      <c r="A53" s="127" t="s">
        <v>19</v>
      </c>
      <c r="B53" s="6" t="s">
        <v>3</v>
      </c>
      <c r="C53" s="6" t="s">
        <v>84</v>
      </c>
      <c r="D53" s="6" t="s">
        <v>85</v>
      </c>
      <c r="E53" s="6" t="s">
        <v>86</v>
      </c>
      <c r="F53" s="6" t="s">
        <v>87</v>
      </c>
      <c r="G53" s="6" t="s">
        <v>88</v>
      </c>
      <c r="H53" s="6" t="s">
        <v>89</v>
      </c>
      <c r="I53" s="6" t="s">
        <v>90</v>
      </c>
      <c r="K53" s="26"/>
    </row>
    <row r="54" spans="1:18">
      <c r="A54" s="127"/>
      <c r="B54" s="128" t="s">
        <v>5</v>
      </c>
      <c r="C54" s="9" t="s">
        <v>9</v>
      </c>
      <c r="D54" s="9" t="s">
        <v>9</v>
      </c>
      <c r="E54" s="9" t="s">
        <v>9</v>
      </c>
      <c r="F54" s="9" t="s">
        <v>9</v>
      </c>
      <c r="G54" s="9" t="s">
        <v>9</v>
      </c>
      <c r="H54" s="9" t="s">
        <v>9</v>
      </c>
      <c r="I54" s="58" t="s">
        <v>9</v>
      </c>
      <c r="K54" s="26"/>
    </row>
    <row r="55" spans="1:18">
      <c r="A55" s="127"/>
      <c r="B55" s="129"/>
      <c r="C55" s="9" t="s">
        <v>10</v>
      </c>
      <c r="D55" s="9" t="s">
        <v>8</v>
      </c>
      <c r="E55" s="9" t="s">
        <v>8</v>
      </c>
      <c r="F55" s="9" t="s">
        <v>8</v>
      </c>
      <c r="G55" s="58" t="s">
        <v>8</v>
      </c>
      <c r="H55" s="58" t="s">
        <v>6</v>
      </c>
      <c r="I55" s="58" t="s">
        <v>6</v>
      </c>
      <c r="K55" s="26"/>
    </row>
    <row r="56" spans="1:18">
      <c r="A56" s="127"/>
      <c r="B56" s="129"/>
      <c r="C56" s="9" t="s">
        <v>8</v>
      </c>
      <c r="D56" s="58" t="s">
        <v>7</v>
      </c>
      <c r="E56" s="58" t="s">
        <v>6</v>
      </c>
      <c r="F56" s="58" t="s">
        <v>6</v>
      </c>
      <c r="G56" s="58" t="s">
        <v>6</v>
      </c>
      <c r="H56" s="9" t="s">
        <v>10</v>
      </c>
      <c r="I56" s="9" t="s">
        <v>10</v>
      </c>
      <c r="K56" s="26"/>
    </row>
    <row r="57" spans="1:18">
      <c r="A57" s="127"/>
      <c r="B57" s="129"/>
      <c r="C57" s="9"/>
      <c r="D57" s="9" t="s">
        <v>10</v>
      </c>
      <c r="E57" s="58" t="s">
        <v>14</v>
      </c>
      <c r="F57" s="58" t="s">
        <v>10</v>
      </c>
      <c r="G57" s="17" t="s">
        <v>10</v>
      </c>
      <c r="H57" s="9"/>
      <c r="I57" s="58" t="s">
        <v>8</v>
      </c>
      <c r="J57" s="34"/>
      <c r="K57" s="26"/>
    </row>
    <row r="58" spans="1:18">
      <c r="A58" s="127"/>
      <c r="B58" s="130"/>
      <c r="C58" s="9"/>
      <c r="D58" s="58" t="s">
        <v>16</v>
      </c>
      <c r="E58" s="9" t="s">
        <v>16</v>
      </c>
      <c r="F58" s="9" t="s">
        <v>16</v>
      </c>
      <c r="G58" s="9" t="s">
        <v>16</v>
      </c>
      <c r="H58" s="9" t="s">
        <v>16</v>
      </c>
      <c r="I58" s="9" t="s">
        <v>16</v>
      </c>
      <c r="K58" s="26"/>
    </row>
    <row r="59" spans="1:18">
      <c r="A59" s="127"/>
      <c r="B59" s="18" t="s">
        <v>12</v>
      </c>
      <c r="C59" s="19"/>
      <c r="D59" s="18" t="s">
        <v>16</v>
      </c>
      <c r="E59" s="20" t="s">
        <v>14</v>
      </c>
      <c r="F59" s="20" t="s">
        <v>10</v>
      </c>
      <c r="G59" s="19"/>
      <c r="H59" s="19"/>
      <c r="I59" s="20" t="s">
        <v>9</v>
      </c>
      <c r="K59" s="26"/>
    </row>
    <row r="60" spans="1:18">
      <c r="A60" s="127"/>
      <c r="B60" s="31"/>
      <c r="C60" s="19"/>
      <c r="D60" s="19"/>
      <c r="E60" s="19"/>
      <c r="F60" s="19"/>
      <c r="G60" s="30"/>
      <c r="H60" s="19"/>
      <c r="I60" s="19"/>
      <c r="K60" s="26"/>
    </row>
    <row r="61" spans="1:18" ht="19.5" customHeight="1">
      <c r="A61" s="127"/>
      <c r="B61" s="136" t="s">
        <v>15</v>
      </c>
      <c r="C61" s="19"/>
      <c r="D61" s="19"/>
      <c r="E61" s="19"/>
      <c r="F61" s="19"/>
      <c r="G61" s="122" t="s">
        <v>8</v>
      </c>
      <c r="H61" s="19"/>
      <c r="I61" s="19"/>
      <c r="K61" s="26"/>
    </row>
    <row r="62" spans="1:18" ht="19.5" customHeight="1">
      <c r="A62" s="127"/>
      <c r="B62" s="137"/>
      <c r="C62" s="19"/>
      <c r="D62" s="19"/>
      <c r="E62" s="19"/>
      <c r="F62" s="19"/>
      <c r="G62" s="121"/>
      <c r="H62" s="33"/>
      <c r="I62" s="19"/>
      <c r="K62" s="26"/>
    </row>
    <row r="63" spans="1:18">
      <c r="A63" s="127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>
      <c r="A64" s="127"/>
      <c r="B64" s="128" t="s">
        <v>18</v>
      </c>
      <c r="C64" s="9" t="s">
        <v>11</v>
      </c>
      <c r="D64" s="9" t="s">
        <v>11</v>
      </c>
      <c r="E64" s="9" t="s">
        <v>11</v>
      </c>
      <c r="F64" s="9" t="s">
        <v>11</v>
      </c>
      <c r="G64" s="9" t="s">
        <v>11</v>
      </c>
      <c r="H64" s="9" t="s">
        <v>11</v>
      </c>
      <c r="I64" s="58" t="s">
        <v>6</v>
      </c>
      <c r="K64" s="26"/>
    </row>
    <row r="65" spans="1:14">
      <c r="A65" s="127"/>
      <c r="B65" s="129"/>
      <c r="C65" s="58" t="s">
        <v>6</v>
      </c>
      <c r="D65" s="9" t="s">
        <v>6</v>
      </c>
      <c r="E65" s="58" t="s">
        <v>6</v>
      </c>
      <c r="F65" s="58" t="s">
        <v>6</v>
      </c>
      <c r="G65" s="58" t="s">
        <v>6</v>
      </c>
      <c r="H65" s="58" t="s">
        <v>6</v>
      </c>
      <c r="I65" s="9" t="s">
        <v>14</v>
      </c>
      <c r="K65" s="26"/>
    </row>
    <row r="66" spans="1:14">
      <c r="A66" s="127"/>
      <c r="B66" s="129"/>
      <c r="C66" s="9" t="s">
        <v>14</v>
      </c>
      <c r="D66" s="9" t="s">
        <v>14</v>
      </c>
      <c r="E66" s="9" t="s">
        <v>10</v>
      </c>
      <c r="F66" s="9" t="s">
        <v>14</v>
      </c>
      <c r="G66" s="9" t="s">
        <v>14</v>
      </c>
      <c r="H66" s="58" t="s">
        <v>14</v>
      </c>
      <c r="I66" s="58" t="s">
        <v>11</v>
      </c>
      <c r="J66" s="34"/>
      <c r="K66" s="26"/>
    </row>
    <row r="67" spans="1:14">
      <c r="A67" s="127"/>
      <c r="B67" s="129"/>
      <c r="C67" s="58" t="s">
        <v>7</v>
      </c>
      <c r="E67" s="58" t="s">
        <v>16</v>
      </c>
      <c r="F67" s="58" t="s">
        <v>16</v>
      </c>
      <c r="G67" s="9" t="s">
        <v>16</v>
      </c>
      <c r="H67" s="9" t="s">
        <v>8</v>
      </c>
      <c r="I67" s="58" t="s">
        <v>8</v>
      </c>
      <c r="K67" s="26"/>
    </row>
    <row r="68" spans="1:14">
      <c r="A68" s="127"/>
      <c r="B68" s="130"/>
      <c r="C68" s="9" t="s">
        <v>16</v>
      </c>
      <c r="D68" s="58" t="s">
        <v>16</v>
      </c>
      <c r="E68" s="9" t="s">
        <v>6</v>
      </c>
      <c r="F68" s="9" t="s">
        <v>6</v>
      </c>
      <c r="G68" s="9" t="s">
        <v>6</v>
      </c>
      <c r="H68" s="9" t="s">
        <v>6</v>
      </c>
      <c r="I68" s="9" t="s">
        <v>6</v>
      </c>
      <c r="K68" s="26"/>
    </row>
    <row r="69" spans="1:14">
      <c r="A69" s="127"/>
      <c r="B69" s="131" t="s">
        <v>12</v>
      </c>
      <c r="C69" s="18" t="s">
        <v>6</v>
      </c>
      <c r="D69" s="19"/>
      <c r="E69" s="27"/>
      <c r="F69" s="27"/>
      <c r="G69" s="27"/>
      <c r="H69" s="19"/>
      <c r="I69" s="20" t="s">
        <v>11</v>
      </c>
    </row>
    <row r="70" spans="1:14">
      <c r="A70" s="127"/>
      <c r="B70" s="133"/>
      <c r="C70" s="19"/>
      <c r="D70" s="19"/>
      <c r="E70" s="27"/>
      <c r="F70" s="27"/>
      <c r="G70" s="27"/>
      <c r="H70" s="19"/>
      <c r="I70" s="20" t="s">
        <v>8</v>
      </c>
    </row>
    <row r="71" spans="1:14">
      <c r="A71" s="127"/>
      <c r="B71" s="22" t="s">
        <v>15</v>
      </c>
      <c r="C71" s="19"/>
      <c r="D71" s="19"/>
      <c r="E71" s="19"/>
      <c r="F71" s="19"/>
      <c r="G71" s="27"/>
      <c r="H71" s="65" t="s">
        <v>14</v>
      </c>
      <c r="I71" s="33"/>
      <c r="K71" s="123"/>
      <c r="L71" s="123"/>
      <c r="M71" s="123"/>
      <c r="N71" s="123"/>
    </row>
    <row r="72" spans="1:14">
      <c r="A72" s="127"/>
      <c r="B72" s="25" t="s">
        <v>17</v>
      </c>
      <c r="C72" s="19"/>
      <c r="D72" s="19"/>
      <c r="E72" s="19"/>
      <c r="F72" s="19"/>
      <c r="G72" s="27"/>
      <c r="H72" s="28"/>
      <c r="I72" s="28"/>
      <c r="K72" s="123"/>
      <c r="L72" s="123"/>
      <c r="M72" s="123"/>
      <c r="N72" s="123"/>
    </row>
    <row r="73" spans="1:14">
      <c r="B73" s="4"/>
      <c r="C73" s="15">
        <f>COUNTA(C54:C58,C64:C68)</f>
        <v>8</v>
      </c>
      <c r="D73" s="15">
        <f>COUNTA(D54:D58,D64:D68)</f>
        <v>9</v>
      </c>
      <c r="E73" s="15">
        <f t="shared" ref="E73:I73" si="2">COUNTA(E54:E58,E64:E68)</f>
        <v>10</v>
      </c>
      <c r="F73" s="15">
        <f t="shared" si="2"/>
        <v>10</v>
      </c>
      <c r="G73" s="15">
        <f t="shared" si="2"/>
        <v>10</v>
      </c>
      <c r="H73" s="15">
        <f t="shared" si="2"/>
        <v>9</v>
      </c>
      <c r="I73" s="15">
        <f t="shared" si="2"/>
        <v>10</v>
      </c>
      <c r="K73" s="36"/>
      <c r="L73" s="123"/>
      <c r="M73" s="123"/>
      <c r="N73" s="123"/>
    </row>
    <row r="74" spans="1:14" ht="15.95" customHeight="1">
      <c r="A74" s="127" t="s">
        <v>20</v>
      </c>
      <c r="B74" s="6" t="s">
        <v>3</v>
      </c>
      <c r="C74" s="6" t="s">
        <v>91</v>
      </c>
      <c r="D74" s="6" t="s">
        <v>92</v>
      </c>
      <c r="E74" s="6" t="s">
        <v>93</v>
      </c>
      <c r="F74" s="6" t="s">
        <v>94</v>
      </c>
      <c r="G74" s="6" t="s">
        <v>95</v>
      </c>
      <c r="H74" s="6" t="s">
        <v>96</v>
      </c>
      <c r="I74" s="6" t="s">
        <v>97</v>
      </c>
      <c r="K74" s="123"/>
      <c r="L74" s="123"/>
      <c r="M74" s="123"/>
      <c r="N74" s="123"/>
    </row>
    <row r="75" spans="1:14">
      <c r="A75" s="127"/>
      <c r="B75" s="128" t="s">
        <v>5</v>
      </c>
      <c r="C75" s="9" t="s">
        <v>9</v>
      </c>
      <c r="D75" s="9" t="s">
        <v>9</v>
      </c>
      <c r="E75" s="9" t="s">
        <v>9</v>
      </c>
      <c r="F75" s="9" t="s">
        <v>9</v>
      </c>
      <c r="G75" s="9" t="s">
        <v>9</v>
      </c>
      <c r="H75" s="9" t="s">
        <v>9</v>
      </c>
      <c r="I75" s="58" t="s">
        <v>9</v>
      </c>
      <c r="K75" s="37"/>
      <c r="L75" s="123"/>
      <c r="M75" s="123"/>
      <c r="N75" s="123"/>
    </row>
    <row r="76" spans="1:14">
      <c r="A76" s="127"/>
      <c r="B76" s="129"/>
      <c r="C76" s="9" t="s">
        <v>10</v>
      </c>
      <c r="D76" s="9" t="s">
        <v>8</v>
      </c>
      <c r="E76" s="9" t="s">
        <v>8</v>
      </c>
      <c r="F76" s="9" t="s">
        <v>8</v>
      </c>
      <c r="G76" s="9" t="s">
        <v>8</v>
      </c>
      <c r="H76" s="58" t="s">
        <v>7</v>
      </c>
      <c r="I76" s="58" t="s">
        <v>7</v>
      </c>
      <c r="K76" s="11"/>
    </row>
    <row r="77" spans="1:14">
      <c r="A77" s="127"/>
      <c r="B77" s="129"/>
      <c r="C77" s="9" t="s">
        <v>8</v>
      </c>
      <c r="D77" s="58" t="s">
        <v>7</v>
      </c>
      <c r="E77" s="9" t="s">
        <v>16</v>
      </c>
      <c r="F77" s="9" t="s">
        <v>16</v>
      </c>
      <c r="G77" s="9" t="s">
        <v>16</v>
      </c>
      <c r="H77" s="9" t="s">
        <v>10</v>
      </c>
      <c r="I77" s="9" t="s">
        <v>10</v>
      </c>
      <c r="K77" s="11"/>
    </row>
    <row r="78" spans="1:14">
      <c r="A78" s="127"/>
      <c r="B78" s="129"/>
      <c r="C78" s="9"/>
      <c r="D78" s="9" t="s">
        <v>10</v>
      </c>
      <c r="E78" s="58" t="s">
        <v>14</v>
      </c>
      <c r="F78" s="58" t="s">
        <v>10</v>
      </c>
      <c r="G78" s="58" t="s">
        <v>10</v>
      </c>
      <c r="H78" s="9" t="s">
        <v>16</v>
      </c>
      <c r="I78" s="9" t="s">
        <v>16</v>
      </c>
      <c r="K78" s="11"/>
    </row>
    <row r="79" spans="1:14">
      <c r="A79" s="127"/>
      <c r="B79" s="130"/>
      <c r="C79" s="9"/>
      <c r="D79" s="9"/>
      <c r="E79" s="9"/>
      <c r="F79" s="9"/>
      <c r="G79" s="17"/>
      <c r="H79" s="9" t="s">
        <v>8</v>
      </c>
      <c r="I79" s="9"/>
      <c r="K79" s="11"/>
    </row>
    <row r="80" spans="1:14">
      <c r="A80" s="127"/>
      <c r="B80" s="18" t="s">
        <v>12</v>
      </c>
      <c r="C80" s="19"/>
      <c r="D80" s="19"/>
      <c r="E80" s="20" t="s">
        <v>14</v>
      </c>
      <c r="F80" s="20" t="s">
        <v>10</v>
      </c>
      <c r="G80" s="19"/>
      <c r="H80" s="19"/>
      <c r="I80" s="20" t="s">
        <v>9</v>
      </c>
    </row>
    <row r="81" spans="1:9">
      <c r="A81" s="127"/>
      <c r="B81" s="18"/>
      <c r="C81" s="19"/>
      <c r="D81" s="19"/>
      <c r="E81" s="19"/>
      <c r="F81" s="19"/>
      <c r="G81" s="19"/>
      <c r="H81" s="19"/>
      <c r="I81" s="19"/>
    </row>
    <row r="82" spans="1:9">
      <c r="A82" s="127"/>
      <c r="B82" s="22" t="s">
        <v>15</v>
      </c>
      <c r="C82" s="19"/>
      <c r="D82" s="19"/>
      <c r="E82" s="23"/>
      <c r="F82" s="19"/>
      <c r="G82" s="122" t="s">
        <v>10</v>
      </c>
      <c r="H82" s="23"/>
      <c r="I82" s="19"/>
    </row>
    <row r="83" spans="1:9">
      <c r="A83" s="127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>
      <c r="A84" s="127"/>
      <c r="B84" s="128" t="s">
        <v>18</v>
      </c>
      <c r="C84" s="9" t="s">
        <v>11</v>
      </c>
      <c r="D84" s="9" t="s">
        <v>11</v>
      </c>
      <c r="E84" s="9" t="s">
        <v>11</v>
      </c>
      <c r="F84" s="9" t="s">
        <v>11</v>
      </c>
      <c r="G84" s="9" t="s">
        <v>11</v>
      </c>
      <c r="H84" s="9" t="s">
        <v>11</v>
      </c>
      <c r="I84" s="114" t="s">
        <v>11</v>
      </c>
    </row>
    <row r="85" spans="1:9">
      <c r="A85" s="127"/>
      <c r="B85" s="129"/>
      <c r="C85" s="58" t="s">
        <v>6</v>
      </c>
      <c r="D85" s="9" t="s">
        <v>6</v>
      </c>
      <c r="E85" s="9" t="s">
        <v>6</v>
      </c>
      <c r="F85" s="9" t="s">
        <v>6</v>
      </c>
      <c r="G85" s="9" t="s">
        <v>6</v>
      </c>
      <c r="H85" s="9" t="s">
        <v>6</v>
      </c>
      <c r="I85" s="9" t="s">
        <v>6</v>
      </c>
    </row>
    <row r="86" spans="1:9">
      <c r="A86" s="127"/>
      <c r="B86" s="129"/>
      <c r="C86" s="9" t="s">
        <v>14</v>
      </c>
      <c r="D86" s="9" t="s">
        <v>14</v>
      </c>
      <c r="E86" s="9" t="s">
        <v>10</v>
      </c>
      <c r="F86" s="9" t="s">
        <v>14</v>
      </c>
      <c r="G86" s="9" t="s">
        <v>14</v>
      </c>
      <c r="H86" s="9" t="s">
        <v>14</v>
      </c>
      <c r="I86" s="9" t="s">
        <v>14</v>
      </c>
    </row>
    <row r="87" spans="1:9">
      <c r="A87" s="127"/>
      <c r="B87" s="129"/>
      <c r="C87" s="9" t="s">
        <v>16</v>
      </c>
      <c r="D87" s="58" t="s">
        <v>16</v>
      </c>
      <c r="E87" s="9"/>
      <c r="F87" s="9"/>
      <c r="G87" s="9"/>
      <c r="H87" s="64" t="s">
        <v>8</v>
      </c>
      <c r="I87" s="64" t="s">
        <v>8</v>
      </c>
    </row>
    <row r="88" spans="1:9">
      <c r="A88" s="127"/>
      <c r="B88" s="130"/>
      <c r="C88" s="58" t="s">
        <v>16</v>
      </c>
      <c r="D88" s="9"/>
      <c r="E88" s="9"/>
      <c r="F88" s="9"/>
      <c r="G88" s="9"/>
      <c r="H88" s="9"/>
      <c r="I88" s="9"/>
    </row>
    <row r="89" spans="1:9">
      <c r="A89" s="127"/>
      <c r="B89" s="131" t="s">
        <v>12</v>
      </c>
      <c r="C89" s="18" t="s">
        <v>6</v>
      </c>
      <c r="D89" s="18" t="s">
        <v>16</v>
      </c>
      <c r="E89" s="27"/>
      <c r="F89" s="27"/>
      <c r="G89" s="27"/>
      <c r="H89" s="29"/>
      <c r="I89" s="20" t="s">
        <v>11</v>
      </c>
    </row>
    <row r="90" spans="1:9">
      <c r="A90" s="127"/>
      <c r="B90" s="133"/>
      <c r="C90" s="19"/>
      <c r="D90" s="27"/>
      <c r="E90" s="27"/>
      <c r="F90" s="27"/>
      <c r="G90" s="27"/>
      <c r="H90" s="29"/>
      <c r="I90" s="20" t="s">
        <v>8</v>
      </c>
    </row>
    <row r="91" spans="1:9">
      <c r="A91" s="127"/>
      <c r="B91" s="136" t="s">
        <v>15</v>
      </c>
      <c r="C91" s="19"/>
      <c r="D91" s="30"/>
      <c r="E91" s="27"/>
      <c r="F91" s="27"/>
      <c r="G91" s="27"/>
      <c r="H91" s="29"/>
      <c r="I91" s="33"/>
    </row>
    <row r="92" spans="1:9">
      <c r="A92" s="127"/>
      <c r="B92" s="137"/>
      <c r="C92" s="19"/>
      <c r="D92" s="30"/>
      <c r="E92" s="27"/>
      <c r="F92" s="19"/>
      <c r="G92" s="23"/>
      <c r="H92" s="29"/>
      <c r="I92" s="33"/>
    </row>
    <row r="93" spans="1:9">
      <c r="A93" s="127"/>
      <c r="B93" s="25" t="s">
        <v>17</v>
      </c>
      <c r="C93" s="19"/>
      <c r="D93" s="30"/>
      <c r="E93" s="27"/>
      <c r="F93" s="19"/>
      <c r="G93" s="23"/>
      <c r="H93" s="29"/>
      <c r="I93" s="33"/>
    </row>
    <row r="94" spans="1:9">
      <c r="B94" s="4"/>
      <c r="C94" s="15">
        <f>COUNTA(C75:C79,C84:C88)</f>
        <v>8</v>
      </c>
      <c r="D94" s="15">
        <f t="shared" ref="D94:I94" si="3">COUNTA(D75:D79,D84:D88)</f>
        <v>8</v>
      </c>
      <c r="E94" s="15">
        <f t="shared" si="3"/>
        <v>7</v>
      </c>
      <c r="F94" s="15">
        <f t="shared" si="3"/>
        <v>7</v>
      </c>
      <c r="G94" s="15">
        <f t="shared" si="3"/>
        <v>7</v>
      </c>
      <c r="H94" s="15">
        <f t="shared" si="3"/>
        <v>9</v>
      </c>
      <c r="I94" s="15">
        <f t="shared" si="3"/>
        <v>8</v>
      </c>
    </row>
    <row r="95" spans="1:9" ht="15.95" customHeight="1">
      <c r="A95" s="127" t="s">
        <v>21</v>
      </c>
      <c r="B95" s="6" t="s">
        <v>3</v>
      </c>
      <c r="C95" s="6" t="s">
        <v>98</v>
      </c>
      <c r="D95" s="6" t="s">
        <v>99</v>
      </c>
      <c r="E95" s="6" t="s">
        <v>100</v>
      </c>
      <c r="F95" s="6" t="s">
        <v>101</v>
      </c>
      <c r="G95" s="6" t="s">
        <v>102</v>
      </c>
      <c r="H95" s="6" t="s">
        <v>103</v>
      </c>
      <c r="I95" s="6" t="s">
        <v>104</v>
      </c>
    </row>
    <row r="96" spans="1:9">
      <c r="A96" s="127"/>
      <c r="B96" s="128" t="s">
        <v>5</v>
      </c>
      <c r="C96" s="9" t="s">
        <v>9</v>
      </c>
      <c r="D96" s="9" t="s">
        <v>9</v>
      </c>
      <c r="E96" s="9" t="s">
        <v>9</v>
      </c>
      <c r="F96" s="9" t="s">
        <v>9</v>
      </c>
      <c r="G96" s="45" t="s">
        <v>9</v>
      </c>
      <c r="H96" s="9" t="s">
        <v>9</v>
      </c>
      <c r="I96" s="58" t="s">
        <v>9</v>
      </c>
    </row>
    <row r="97" spans="1:9">
      <c r="A97" s="127"/>
      <c r="B97" s="129"/>
      <c r="C97" s="9" t="s">
        <v>10</v>
      </c>
      <c r="D97" s="9" t="s">
        <v>8</v>
      </c>
      <c r="E97" s="9" t="s">
        <v>8</v>
      </c>
      <c r="F97" s="9" t="s">
        <v>8</v>
      </c>
      <c r="G97" s="45" t="s">
        <v>8</v>
      </c>
      <c r="H97" s="58" t="s">
        <v>7</v>
      </c>
      <c r="I97" s="58" t="s">
        <v>7</v>
      </c>
    </row>
    <row r="98" spans="1:9">
      <c r="A98" s="127"/>
      <c r="B98" s="129"/>
      <c r="C98" s="9" t="s">
        <v>8</v>
      </c>
      <c r="D98" s="58" t="s">
        <v>7</v>
      </c>
      <c r="E98" s="58" t="s">
        <v>7</v>
      </c>
      <c r="F98" s="58" t="s">
        <v>7</v>
      </c>
      <c r="G98" s="58" t="s">
        <v>7</v>
      </c>
      <c r="H98" s="9" t="s">
        <v>10</v>
      </c>
      <c r="I98" s="9" t="s">
        <v>10</v>
      </c>
    </row>
    <row r="99" spans="1:9">
      <c r="A99" s="127"/>
      <c r="B99" s="129"/>
      <c r="C99" s="9"/>
      <c r="D99" s="9" t="s">
        <v>10</v>
      </c>
      <c r="E99" s="58" t="s">
        <v>14</v>
      </c>
      <c r="F99" s="58" t="s">
        <v>10</v>
      </c>
      <c r="G99" s="9" t="s">
        <v>10</v>
      </c>
      <c r="H99" s="9"/>
      <c r="I99" s="9"/>
    </row>
    <row r="100" spans="1:9" ht="30">
      <c r="A100" s="127"/>
      <c r="B100" s="130"/>
      <c r="C100" s="125" t="s">
        <v>144</v>
      </c>
      <c r="D100" s="9"/>
      <c r="E100" s="9" t="s">
        <v>16</v>
      </c>
      <c r="F100" s="9" t="s">
        <v>16</v>
      </c>
      <c r="G100" s="45" t="s">
        <v>16</v>
      </c>
      <c r="H100" s="9" t="s">
        <v>16</v>
      </c>
      <c r="I100" s="9" t="s">
        <v>16</v>
      </c>
    </row>
    <row r="101" spans="1:9">
      <c r="A101" s="127"/>
      <c r="B101" s="18" t="s">
        <v>12</v>
      </c>
      <c r="C101" s="19"/>
      <c r="D101" s="57"/>
      <c r="E101" s="20" t="s">
        <v>14</v>
      </c>
      <c r="F101" s="20" t="s">
        <v>10</v>
      </c>
      <c r="G101" s="46"/>
      <c r="H101" s="19"/>
      <c r="I101" s="20" t="s">
        <v>9</v>
      </c>
    </row>
    <row r="102" spans="1:9">
      <c r="A102" s="127"/>
      <c r="B102" s="18"/>
      <c r="C102" s="19"/>
      <c r="D102" s="19"/>
      <c r="E102" s="19"/>
      <c r="F102" s="19"/>
      <c r="G102" s="47"/>
      <c r="H102" s="19"/>
      <c r="I102" s="19"/>
    </row>
    <row r="103" spans="1:9">
      <c r="A103" s="127"/>
      <c r="B103" s="22" t="s">
        <v>15</v>
      </c>
      <c r="C103" s="19"/>
      <c r="D103" s="19"/>
      <c r="E103" s="23"/>
      <c r="F103" s="19"/>
      <c r="G103" s="47"/>
      <c r="H103" s="23"/>
      <c r="I103" s="19"/>
    </row>
    <row r="104" spans="1:9">
      <c r="A104" s="127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>
      <c r="A105" s="127"/>
      <c r="B105" s="128" t="s">
        <v>18</v>
      </c>
      <c r="C105" s="9" t="s">
        <v>11</v>
      </c>
      <c r="D105" s="9" t="s">
        <v>11</v>
      </c>
      <c r="E105" s="9" t="s">
        <v>11</v>
      </c>
      <c r="F105" s="9" t="s">
        <v>11</v>
      </c>
      <c r="G105" s="45" t="s">
        <v>11</v>
      </c>
      <c r="H105" s="9" t="s">
        <v>11</v>
      </c>
      <c r="I105" s="114" t="s">
        <v>11</v>
      </c>
    </row>
    <row r="106" spans="1:9">
      <c r="A106" s="127"/>
      <c r="B106" s="129"/>
      <c r="C106" s="58" t="s">
        <v>6</v>
      </c>
      <c r="D106" s="9" t="s">
        <v>6</v>
      </c>
      <c r="E106" s="9" t="s">
        <v>6</v>
      </c>
      <c r="F106" s="9" t="s">
        <v>6</v>
      </c>
      <c r="G106" s="9" t="s">
        <v>6</v>
      </c>
      <c r="H106" s="9" t="s">
        <v>6</v>
      </c>
      <c r="I106" s="9" t="s">
        <v>6</v>
      </c>
    </row>
    <row r="107" spans="1:9">
      <c r="A107" s="127"/>
      <c r="B107" s="129"/>
      <c r="C107" s="9" t="s">
        <v>14</v>
      </c>
      <c r="D107" s="58" t="s">
        <v>14</v>
      </c>
      <c r="E107" s="9" t="s">
        <v>10</v>
      </c>
      <c r="F107" s="58" t="s">
        <v>14</v>
      </c>
      <c r="G107" s="58" t="s">
        <v>14</v>
      </c>
      <c r="H107" s="58" t="s">
        <v>14</v>
      </c>
      <c r="I107" s="58" t="s">
        <v>14</v>
      </c>
    </row>
    <row r="108" spans="1:9">
      <c r="A108" s="127"/>
      <c r="B108" s="129"/>
      <c r="C108" s="58" t="s">
        <v>7</v>
      </c>
      <c r="D108" s="34" t="s">
        <v>7</v>
      </c>
      <c r="E108" s="9" t="s">
        <v>7</v>
      </c>
      <c r="F108" s="9" t="s">
        <v>7</v>
      </c>
      <c r="G108" s="9" t="s">
        <v>7</v>
      </c>
      <c r="H108" s="17" t="s">
        <v>8</v>
      </c>
      <c r="I108" s="64" t="s">
        <v>8</v>
      </c>
    </row>
    <row r="109" spans="1:9">
      <c r="A109" s="127"/>
      <c r="B109" s="130"/>
      <c r="C109" s="9" t="s">
        <v>16</v>
      </c>
      <c r="D109" s="9"/>
      <c r="E109" s="9"/>
      <c r="F109" s="9"/>
      <c r="G109" s="45"/>
      <c r="H109" s="9" t="s">
        <v>7</v>
      </c>
      <c r="I109" s="9" t="s">
        <v>7</v>
      </c>
    </row>
    <row r="110" spans="1:9">
      <c r="A110" s="127"/>
      <c r="B110" s="131" t="s">
        <v>12</v>
      </c>
      <c r="C110" s="18" t="s">
        <v>6</v>
      </c>
      <c r="D110" s="18" t="s">
        <v>16</v>
      </c>
      <c r="E110" s="27"/>
      <c r="F110" s="27"/>
      <c r="G110" s="48"/>
      <c r="H110" s="29"/>
      <c r="I110" s="20" t="s">
        <v>11</v>
      </c>
    </row>
    <row r="111" spans="1:9">
      <c r="A111" s="127"/>
      <c r="B111" s="132"/>
      <c r="C111" s="18" t="s">
        <v>7</v>
      </c>
      <c r="D111" s="28"/>
      <c r="E111" s="27"/>
      <c r="F111" s="27"/>
      <c r="G111" s="48"/>
      <c r="H111" s="29"/>
      <c r="I111" s="20" t="s">
        <v>8</v>
      </c>
    </row>
    <row r="112" spans="1:9">
      <c r="A112" s="127"/>
      <c r="B112" s="133"/>
      <c r="C112" s="28"/>
      <c r="D112" s="27"/>
      <c r="E112" s="27"/>
      <c r="F112" s="27"/>
      <c r="G112" s="48"/>
      <c r="H112" s="47"/>
      <c r="I112" s="19"/>
    </row>
    <row r="113" spans="1:9">
      <c r="A113" s="127"/>
      <c r="B113" s="134" t="s">
        <v>15</v>
      </c>
      <c r="C113" s="19"/>
      <c r="D113" s="30"/>
      <c r="E113" s="27"/>
      <c r="F113" s="27"/>
      <c r="G113" s="124"/>
      <c r="H113" s="47"/>
      <c r="I113" s="19"/>
    </row>
    <row r="114" spans="1:9">
      <c r="A114" s="127"/>
      <c r="B114" s="135"/>
      <c r="C114" s="19"/>
      <c r="D114" s="30"/>
      <c r="E114" s="27"/>
      <c r="F114" s="19"/>
      <c r="G114" s="49"/>
      <c r="H114" s="27"/>
      <c r="I114" s="33"/>
    </row>
    <row r="115" spans="1:9">
      <c r="A115" s="112"/>
      <c r="B115" s="25" t="s">
        <v>17</v>
      </c>
      <c r="C115" s="19"/>
      <c r="D115" s="30"/>
      <c r="E115" s="27"/>
      <c r="F115" s="19"/>
      <c r="G115" s="49"/>
      <c r="H115" s="27"/>
      <c r="I115" s="33"/>
    </row>
    <row r="116" spans="1:9">
      <c r="C116" s="15">
        <f t="shared" ref="C116:I116" si="4">COUNTA(C96:C100,C105:C109)</f>
        <v>9</v>
      </c>
      <c r="D116" s="15">
        <f>COUNTA(D96:D100,D105:D109)</f>
        <v>8</v>
      </c>
      <c r="E116" s="15">
        <f t="shared" si="4"/>
        <v>9</v>
      </c>
      <c r="F116" s="15">
        <f t="shared" si="4"/>
        <v>9</v>
      </c>
      <c r="G116" s="15">
        <f t="shared" si="4"/>
        <v>9</v>
      </c>
      <c r="H116" s="15">
        <f t="shared" si="4"/>
        <v>9</v>
      </c>
      <c r="I116" s="15">
        <f t="shared" si="4"/>
        <v>9</v>
      </c>
    </row>
    <row r="117" spans="1:9" ht="15.95" customHeight="1">
      <c r="A117" s="127" t="s">
        <v>22</v>
      </c>
      <c r="B117" s="6" t="s">
        <v>3</v>
      </c>
      <c r="C117" s="6" t="s">
        <v>105</v>
      </c>
      <c r="D117" s="6" t="s">
        <v>106</v>
      </c>
      <c r="E117" s="6" t="s">
        <v>107</v>
      </c>
      <c r="F117" s="6" t="s">
        <v>108</v>
      </c>
      <c r="G117" s="6" t="s">
        <v>109</v>
      </c>
      <c r="H117" s="6" t="s">
        <v>110</v>
      </c>
      <c r="I117" s="6" t="s">
        <v>111</v>
      </c>
    </row>
    <row r="118" spans="1:9">
      <c r="A118" s="127"/>
      <c r="B118" s="128" t="s">
        <v>5</v>
      </c>
      <c r="C118" s="9" t="s">
        <v>9</v>
      </c>
      <c r="D118" s="9" t="s">
        <v>9</v>
      </c>
      <c r="E118" s="9" t="s">
        <v>9</v>
      </c>
      <c r="F118" s="9" t="s">
        <v>9</v>
      </c>
      <c r="G118" s="45" t="s">
        <v>9</v>
      </c>
      <c r="H118" s="9" t="s">
        <v>9</v>
      </c>
      <c r="I118" s="58" t="s">
        <v>9</v>
      </c>
    </row>
    <row r="119" spans="1:9">
      <c r="A119" s="127"/>
      <c r="B119" s="129"/>
      <c r="C119" s="9" t="s">
        <v>10</v>
      </c>
      <c r="D119" s="9" t="s">
        <v>8</v>
      </c>
      <c r="E119" s="9" t="s">
        <v>8</v>
      </c>
      <c r="F119" s="9" t="s">
        <v>8</v>
      </c>
      <c r="G119" s="45" t="s">
        <v>8</v>
      </c>
      <c r="H119" s="58" t="s">
        <v>7</v>
      </c>
      <c r="I119" s="58" t="s">
        <v>7</v>
      </c>
    </row>
    <row r="120" spans="1:9">
      <c r="A120" s="127"/>
      <c r="B120" s="129"/>
      <c r="C120" s="9" t="s">
        <v>8</v>
      </c>
      <c r="D120" s="58" t="s">
        <v>7</v>
      </c>
      <c r="E120" s="58" t="s">
        <v>7</v>
      </c>
      <c r="F120" s="58" t="s">
        <v>7</v>
      </c>
      <c r="G120" s="58" t="s">
        <v>7</v>
      </c>
      <c r="H120" s="9" t="s">
        <v>10</v>
      </c>
      <c r="I120" s="9" t="s">
        <v>10</v>
      </c>
    </row>
    <row r="121" spans="1:9">
      <c r="A121" s="127"/>
      <c r="B121" s="129"/>
      <c r="C121" s="9"/>
      <c r="D121" s="9" t="s">
        <v>10</v>
      </c>
      <c r="E121" s="58" t="s">
        <v>14</v>
      </c>
      <c r="F121" s="58" t="s">
        <v>10</v>
      </c>
      <c r="G121" s="9" t="s">
        <v>10</v>
      </c>
      <c r="H121" s="9"/>
      <c r="I121" s="9"/>
    </row>
    <row r="122" spans="1:9">
      <c r="A122" s="127"/>
      <c r="B122" s="130"/>
      <c r="C122" s="9"/>
      <c r="D122" s="9"/>
      <c r="E122" s="9" t="s">
        <v>16</v>
      </c>
      <c r="F122" s="9" t="s">
        <v>16</v>
      </c>
      <c r="G122" s="45" t="s">
        <v>16</v>
      </c>
      <c r="H122" s="9" t="s">
        <v>16</v>
      </c>
      <c r="I122" s="9" t="s">
        <v>16</v>
      </c>
    </row>
    <row r="123" spans="1:9">
      <c r="A123" s="127"/>
      <c r="B123" s="18" t="s">
        <v>12</v>
      </c>
      <c r="C123" s="19"/>
      <c r="D123" s="57"/>
      <c r="E123" s="20" t="s">
        <v>7</v>
      </c>
      <c r="F123" s="20" t="s">
        <v>10</v>
      </c>
      <c r="G123" s="46"/>
      <c r="H123" s="19"/>
      <c r="I123" s="20" t="s">
        <v>9</v>
      </c>
    </row>
    <row r="124" spans="1:9">
      <c r="A124" s="127"/>
      <c r="B124" s="18"/>
      <c r="C124" s="19"/>
      <c r="D124" s="19"/>
      <c r="E124" s="19"/>
      <c r="F124" s="19"/>
      <c r="G124" s="47"/>
      <c r="H124" s="19"/>
      <c r="I124" s="19"/>
    </row>
    <row r="125" spans="1:9">
      <c r="A125" s="127"/>
      <c r="B125" s="22" t="s">
        <v>15</v>
      </c>
      <c r="C125" s="19"/>
      <c r="D125" s="19"/>
      <c r="E125" s="23"/>
      <c r="F125" s="19"/>
      <c r="G125" s="47"/>
      <c r="H125" s="23"/>
      <c r="I125" s="19"/>
    </row>
    <row r="126" spans="1:9">
      <c r="A126" s="127"/>
      <c r="B126" s="25" t="s">
        <v>17</v>
      </c>
      <c r="C126" s="19"/>
      <c r="D126" s="19"/>
      <c r="E126" s="23"/>
      <c r="F126" s="23"/>
      <c r="G126" s="46"/>
      <c r="H126" s="23"/>
      <c r="I126" s="19"/>
    </row>
    <row r="127" spans="1:9">
      <c r="A127" s="127"/>
      <c r="B127" s="128" t="s">
        <v>18</v>
      </c>
      <c r="C127" s="9" t="s">
        <v>11</v>
      </c>
      <c r="D127" s="9" t="s">
        <v>11</v>
      </c>
      <c r="E127" s="9" t="s">
        <v>11</v>
      </c>
      <c r="F127" s="9" t="s">
        <v>11</v>
      </c>
      <c r="G127" s="45" t="s">
        <v>11</v>
      </c>
      <c r="H127" s="9" t="s">
        <v>11</v>
      </c>
      <c r="I127" s="114" t="s">
        <v>11</v>
      </c>
    </row>
    <row r="128" spans="1:9">
      <c r="A128" s="127"/>
      <c r="B128" s="129"/>
      <c r="C128" s="58" t="s">
        <v>6</v>
      </c>
      <c r="D128" s="9" t="s">
        <v>6</v>
      </c>
      <c r="E128" s="9" t="s">
        <v>6</v>
      </c>
      <c r="F128" s="9" t="s">
        <v>6</v>
      </c>
      <c r="G128" s="9" t="s">
        <v>6</v>
      </c>
      <c r="H128" s="9" t="s">
        <v>6</v>
      </c>
      <c r="I128" s="9" t="s">
        <v>6</v>
      </c>
    </row>
    <row r="129" spans="1:15">
      <c r="A129" s="127"/>
      <c r="B129" s="129"/>
      <c r="C129" s="58" t="s">
        <v>14</v>
      </c>
      <c r="D129" s="58" t="s">
        <v>14</v>
      </c>
      <c r="E129" s="9" t="s">
        <v>10</v>
      </c>
      <c r="F129" s="58" t="s">
        <v>14</v>
      </c>
      <c r="G129" s="58" t="s">
        <v>14</v>
      </c>
      <c r="H129" s="58" t="s">
        <v>14</v>
      </c>
      <c r="I129" s="58" t="s">
        <v>14</v>
      </c>
    </row>
    <row r="130" spans="1:15">
      <c r="A130" s="127"/>
      <c r="B130" s="129"/>
      <c r="C130" s="9" t="s">
        <v>7</v>
      </c>
      <c r="D130" s="9" t="s">
        <v>7</v>
      </c>
      <c r="E130" s="9"/>
      <c r="F130" s="9" t="s">
        <v>7</v>
      </c>
      <c r="G130" s="9" t="s">
        <v>7</v>
      </c>
      <c r="H130" s="17" t="s">
        <v>8</v>
      </c>
      <c r="I130" s="64" t="s">
        <v>8</v>
      </c>
    </row>
    <row r="131" spans="1:15">
      <c r="A131" s="127"/>
      <c r="B131" s="130"/>
      <c r="C131" s="9" t="s">
        <v>16</v>
      </c>
      <c r="D131" s="9"/>
      <c r="E131" s="9"/>
      <c r="F131" s="9"/>
      <c r="G131" s="45"/>
      <c r="H131" s="9" t="s">
        <v>7</v>
      </c>
      <c r="I131" s="9" t="s">
        <v>7</v>
      </c>
    </row>
    <row r="132" spans="1:15">
      <c r="A132" s="127"/>
      <c r="B132" s="131" t="s">
        <v>12</v>
      </c>
      <c r="C132" s="18" t="s">
        <v>6</v>
      </c>
      <c r="D132" s="18" t="s">
        <v>16</v>
      </c>
      <c r="E132" s="27"/>
      <c r="F132" s="27"/>
      <c r="G132" s="48"/>
      <c r="H132" s="29"/>
      <c r="I132" s="20" t="s">
        <v>11</v>
      </c>
    </row>
    <row r="133" spans="1:15">
      <c r="A133" s="127"/>
      <c r="B133" s="132"/>
      <c r="C133" s="28"/>
      <c r="D133" s="28"/>
      <c r="E133" s="27"/>
      <c r="F133" s="27"/>
      <c r="G133" s="48"/>
      <c r="H133" s="29"/>
      <c r="I133" s="20" t="s">
        <v>8</v>
      </c>
    </row>
    <row r="134" spans="1:15">
      <c r="A134" s="127"/>
      <c r="B134" s="133"/>
      <c r="C134" s="28"/>
      <c r="D134" s="27"/>
      <c r="E134" s="27"/>
      <c r="F134" s="27"/>
      <c r="G134" s="48"/>
      <c r="H134" s="47"/>
      <c r="I134" s="19"/>
    </row>
    <row r="135" spans="1:15">
      <c r="A135" s="127"/>
      <c r="B135" s="134" t="s">
        <v>15</v>
      </c>
      <c r="C135" s="19"/>
      <c r="D135" s="30"/>
      <c r="E135" s="27"/>
      <c r="F135" s="27"/>
      <c r="G135" s="124"/>
      <c r="H135" s="47"/>
      <c r="I135" s="19"/>
    </row>
    <row r="136" spans="1:15">
      <c r="A136" s="127"/>
      <c r="B136" s="135"/>
      <c r="C136" s="19"/>
      <c r="D136" s="30"/>
      <c r="E136" s="27"/>
      <c r="F136" s="19"/>
      <c r="G136" s="49"/>
      <c r="H136" s="27"/>
      <c r="I136" s="33"/>
    </row>
    <row r="137" spans="1:15">
      <c r="A137" s="112"/>
      <c r="B137" s="25" t="s">
        <v>17</v>
      </c>
      <c r="C137" s="19"/>
      <c r="D137" s="30"/>
      <c r="E137" s="27"/>
      <c r="F137" s="19"/>
      <c r="G137" s="49"/>
      <c r="H137" s="27"/>
      <c r="I137" s="33"/>
    </row>
    <row r="138" spans="1:15">
      <c r="C138" s="15">
        <f t="shared" ref="C138" si="5">COUNTA(C118:C122,C127:C131)</f>
        <v>8</v>
      </c>
      <c r="D138" s="15">
        <f>COUNTA(D118:D122,D127:D131)</f>
        <v>8</v>
      </c>
      <c r="E138" s="15">
        <f t="shared" ref="E138:I138" si="6">COUNTA(E118:E122,E127:E131)</f>
        <v>8</v>
      </c>
      <c r="F138" s="15">
        <f t="shared" si="6"/>
        <v>9</v>
      </c>
      <c r="G138" s="15">
        <f t="shared" si="6"/>
        <v>9</v>
      </c>
      <c r="H138" s="15">
        <f t="shared" si="6"/>
        <v>9</v>
      </c>
      <c r="I138" s="15">
        <f t="shared" si="6"/>
        <v>9</v>
      </c>
    </row>
    <row r="141" spans="1:15">
      <c r="D141" s="2"/>
      <c r="E141" s="2"/>
    </row>
    <row r="142" spans="1:15">
      <c r="C142" s="126" t="s">
        <v>27</v>
      </c>
      <c r="D142" s="126"/>
      <c r="E142" s="126"/>
      <c r="F142" s="126"/>
      <c r="G142" s="126"/>
      <c r="I142" s="126" t="s">
        <v>28</v>
      </c>
      <c r="J142" s="126"/>
      <c r="K142" s="126"/>
      <c r="L142" s="126"/>
      <c r="M142" s="126"/>
    </row>
    <row r="143" spans="1:15">
      <c r="D143" s="2" t="s">
        <v>29</v>
      </c>
      <c r="E143" s="2" t="s">
        <v>30</v>
      </c>
      <c r="F143" t="s">
        <v>31</v>
      </c>
      <c r="G143" t="s">
        <v>32</v>
      </c>
      <c r="I143" s="2" t="s">
        <v>29</v>
      </c>
      <c r="J143" s="2" t="s">
        <v>30</v>
      </c>
      <c r="K143" t="s">
        <v>31</v>
      </c>
      <c r="L143" t="s">
        <v>32</v>
      </c>
      <c r="M143" s="2"/>
      <c r="N143" s="2" t="s">
        <v>33</v>
      </c>
      <c r="O143" s="2" t="s">
        <v>34</v>
      </c>
    </row>
    <row r="144" spans="1:15">
      <c r="B144" t="s">
        <v>4</v>
      </c>
      <c r="C144" s="38" t="s">
        <v>16</v>
      </c>
      <c r="D144" s="39">
        <f>COUNTIF($C$9:$I$13,"Mario")-COUNTIF($C$14:$I$19,"Mario")+COUNTIF($C$33:$I$37,"Mario")-COUNTIF($C$38:$I$42,"Mario")+COUNTIF($C$54:$E$58,"Mario")-COUNTIF($C$59:$E$63,"Mario")</f>
        <v>6</v>
      </c>
      <c r="E144" s="39">
        <f>COUNTIF($C$20:$I$24,"Mario")-COUNTIF($C$25:$I$30,"Mario")+COUNTIF($C$43:$I$47,"Mario")-COUNTIF($C$48:$I$51,"Mario")+COUNTIF($C$64:$E$68,"Mario")-COUNTIF($C$69:$E$72,"Mario")</f>
        <v>6</v>
      </c>
      <c r="F144" s="39">
        <f>+COUNTIF($C$14:$I$19,"Mario")+COUNTIF($C$38:$I$42,"Mario")+COUNTIF($C$59:$E$63,"Mario")+COUNTIF($C$25:$I$30,"Mario")+COUNTIF($C$48:$I$51,"Mario")+COUNTIF($C$69:$E$72,"Mario")</f>
        <v>5</v>
      </c>
      <c r="G144" s="40">
        <f>+F144+E144+D144</f>
        <v>17</v>
      </c>
      <c r="H144" s="38" t="s">
        <v>16</v>
      </c>
      <c r="I144" s="39">
        <f>COUNTIF($C$54:$I$58,"Mario")-COUNTIF($C$59:$I$63,"Mario")+COUNTIF($C$75:$I$79,"Mario")-COUNTIF($C$80:$I$83,"Mario")+COUNTIF($C$96:$D$100,"Mario")-COUNTIF($C$101:$D$104,"Mario")</f>
        <v>10</v>
      </c>
      <c r="J144" s="39">
        <f>COUNTIF($C$64:$I$68,"Mario")-COUNTIF($C$69:$I$72,"Mario")+COUNTIF($C$84:$I$88,"Mario")-COUNTIF($C$89:$I$93,"Mario")+COUNTIF($C$105:$D$109,"Mario")-COUNTIF($C$110:$D$115,"Mario")</f>
        <v>7</v>
      </c>
      <c r="K144" s="39">
        <f>COUNTIF($C$59:$I$63,"Mario")+COUNTIF($C$80:$I$83,"Mario")+COUNTIF($C$101:$D$104,"Mario")+COUNTIF($C$69:$I$72,"Mario")+COUNTIF($C$89:$I$93,"Mario")+COUNTIF($C$110:$D$115,"Mario")</f>
        <v>3</v>
      </c>
      <c r="L144" s="40">
        <f t="shared" ref="L144:L151" si="7">+K144+J144+I144</f>
        <v>20</v>
      </c>
      <c r="N144">
        <v>3</v>
      </c>
    </row>
    <row r="145" spans="3:16">
      <c r="C145" t="s">
        <v>7</v>
      </c>
      <c r="D145" s="39">
        <f>COUNTIF($C$9:$I$13,"Edwin")-COUNTIF($C$14:$I$19,"Edwin")+COUNTIF($C$33:$I$37,"Edwin")-COUNTIF($C$38:$I$42,"Edwin")+COUNTIF($C$54:$E$58,"Edwin")-COUNTIF($C$59:$E$63,"Edwin")</f>
        <v>10</v>
      </c>
      <c r="E145" s="39">
        <f>COUNTIF($C$20:$I$24,"Edwin")-COUNTIF($C$25:$I$30,"Edwin")+COUNTIF($C$43:$I$47,"Edwin")-COUNTIF($C$48:$I$51,"Edwin")+COUNTIF($C$64:$E$68,"Edwin")-COUNTIF($C$69:$E$72,"Edwin")</f>
        <v>3</v>
      </c>
      <c r="F145" s="39">
        <f>+COUNTIF($C$14:$I$19,"Edwin")+COUNTIF($C$38:$I$42,"Edwin")+COUNTIF($C$59:$E$63,"Edwin")+COUNTIF($C$25:$I$30,"Edwin")+COUNTIF($C$48:$I$51,"Edwin")+COUNTIF($C$69:$E$72,"Edwin")</f>
        <v>1</v>
      </c>
      <c r="G145" s="40">
        <f>+F145+E145+D145</f>
        <v>14</v>
      </c>
      <c r="H145" t="s">
        <v>7</v>
      </c>
      <c r="I145" s="39">
        <f>COUNTIF($C$54:$I$58,"Edwin")-COUNTIF($C$59:$I$63,"Edwin")+COUNTIF($C$75:$I$79,"Edwin")-COUNTIF($C$80:$I$83,"Edwin")+COUNTIF($C$96:$D$100,"Edwin")-COUNTIF($C$101:$D$104,"Edwin")</f>
        <v>5</v>
      </c>
      <c r="J145" s="39">
        <f>COUNTIF($C$64:$I$68,"Edwin")-COUNTIF($C$69:$I$72,"Edwin")+COUNTIF($C$84:$I$88,"Edwin")-COUNTIF($C$89:$I$93,"Edwin")+COUNTIF($C$105:$D$109,"Edwin")-COUNTIF($C$110:$D$115,"Edwin")</f>
        <v>2</v>
      </c>
      <c r="K145" s="39">
        <f>COUNTIF($C$59:$I$63,"Edwin")+COUNTIF($C$80:$I$83,"Edwin")+COUNTIF($C$101:$D$104,"Edwin")+COUNTIF($C$69:$I$72,"Edwin")+COUNTIF($C$89:$I$93,"Edwin")+COUNTIF($C$110:$D$115,"Edwin")</f>
        <v>1</v>
      </c>
      <c r="L145" s="41">
        <f t="shared" si="7"/>
        <v>8</v>
      </c>
      <c r="N145">
        <v>3</v>
      </c>
    </row>
    <row r="146" spans="3:16">
      <c r="C146" s="38" t="s">
        <v>10</v>
      </c>
      <c r="D146" s="39">
        <f>COUNTIF($C$9:$I$13,"Rene")-COUNTIF($C$14:$I$19,"Rene")+COUNTIF($C$33:$I$37,"Rene")-COUNTIF($C$38:$I$42,"Rene")+COUNTIF($C$54:$E$58,"Rene")-COUNTIF($C$59:$E$63,"Rene")</f>
        <v>7</v>
      </c>
      <c r="E146" s="39">
        <f>COUNTIF($C$20:$I$24,"Rene")-COUNTIF($C$25:$I$30,"Rene")+COUNTIF($C$43:$I$47,"Rene")-COUNTIF($C$48:$I$51,"Rene")+COUNTIF($C$64:$E$68,"Rene")-COUNTIF($C$69:$E$72,"Rene")</f>
        <v>7</v>
      </c>
      <c r="F146" s="39">
        <f>+COUNTIF($C$14:$I$19,"Rene")+COUNTIF($C$38:$I$42,"Rene")+COUNTIF($C$59:$E$63,"Rene")+COUNTIF($C$25:$I$30,"Rene")+COUNTIF($C$48:$I$51,"Rene")+COUNTIF($C$69:$E$72,"Rene")</f>
        <v>1</v>
      </c>
      <c r="G146" s="40">
        <f>+F146+E146+D146</f>
        <v>15</v>
      </c>
      <c r="H146" s="38" t="s">
        <v>10</v>
      </c>
      <c r="I146" s="39">
        <f>COUNTIF($C$54:$I$58,"Rene")-COUNTIF($C$59:$I$63,"Rene")+COUNTIF($C$75:$I$79,"Rene")-COUNTIF($C$80:$I$83,"Rene")+COUNTIF($C$96:$D$100,"Rene")-COUNTIF($C$101:$D$104,"Rene")</f>
        <v>11</v>
      </c>
      <c r="J146" s="39">
        <f>COUNTIF($C$64:$I$68,"Rene")-COUNTIF($C$69:$I$72,"Rene")+COUNTIF($C$84:$I$88,"Rene")-COUNTIF($C$89:$I$93,"Rene")+COUNTIF($C$105:$D$109,"Rene")-COUNTIF($C$110:$D$115,"Rene")</f>
        <v>2</v>
      </c>
      <c r="K146" s="39">
        <f>COUNTIF($C$59:$I$63,"Rene")+COUNTIF($C$80:$I$83,"Rene")+COUNTIF($C$101:$D$104,"Rene")+COUNTIF($C$69:$I$72,"Rene")+COUNTIF($C$89:$I$93,"Rene")+COUNTIF($C$110:$D$115,"Rene")</f>
        <v>3</v>
      </c>
      <c r="L146" s="40">
        <f t="shared" si="7"/>
        <v>16</v>
      </c>
      <c r="N146">
        <v>2</v>
      </c>
      <c r="O146">
        <v>1</v>
      </c>
      <c r="P146" t="s">
        <v>35</v>
      </c>
    </row>
    <row r="147" spans="3:16">
      <c r="C147" t="s">
        <v>9</v>
      </c>
      <c r="D147" s="39">
        <f>COUNTIF($C$9:$I$13,"Luis D")-COUNTIF($C$14:$I$19,"Luis D")+COUNTIF($C$33:$I$37,"Luis D")-COUNTIF($C$38:$I$42,"Luis D")+COUNTIF($C$54:$E$58,"Luis D")-COUNTIF($C$59:$E$63,"Luis D")</f>
        <v>13</v>
      </c>
      <c r="E147" s="39">
        <f>COUNTIF($C$20:$I$24,"Luis D")-COUNTIF($C$25:$I$30,"Luis D")+COUNTIF($C$43:$I$47,"Luis D")-COUNTIF($C$48:$I$51,"Luis D")+COUNTIF($C$64:$E$68,"Luis D")-COUNTIF($C$69:$E$72,"Luis D")</f>
        <v>0</v>
      </c>
      <c r="F147" s="39">
        <f>+COUNTIF($C$14:$I$19,"Luis D")+COUNTIF($C$38:$I$42,"Luis D")+COUNTIF($C$59:$E$63,"Luis D")+COUNTIF($C$25:$I$30,"Luis D")+COUNTIF($C$48:$I$51,"Luis D")+COUNTIF($C$69:$E$72,"Luis D")</f>
        <v>2</v>
      </c>
      <c r="G147" s="40">
        <f>+F147+E147+D147</f>
        <v>15</v>
      </c>
      <c r="H147" t="s">
        <v>9</v>
      </c>
      <c r="I147" s="39">
        <f>COUNTIF($C$54:$I$58,"Luis D")-COUNTIF($C$59:$I$63,"Luis D")+COUNTIF($C$75:$I$79,"Luis D")-COUNTIF($C$80:$I$83,"Luis D")+COUNTIF($C$96:$D$100,"Luis D")-COUNTIF($C$101:$D$104,"Luis D")</f>
        <v>14</v>
      </c>
      <c r="J147" s="39">
        <f>COUNTIF($C$64:$I$68,"Luis D")-COUNTIF($C$69:$I$72,"Luis D")+COUNTIF($C$84:$I$88,"Luis D")-COUNTIF($C$89:$I$93,"Luis D")+COUNTIF($C$105:$D$109,"Luis D")-COUNTIF($C$110:$D$115,"Luis D")</f>
        <v>0</v>
      </c>
      <c r="K147" s="39">
        <f>COUNTIF($C$59:$I$63,"Luis D")+COUNTIF($C$80:$I$83,"Luis D")+COUNTIF($C$101:$D$104,"Luis D")+COUNTIF($C$69:$I$72,"Luis D")+COUNTIF($C$89:$I$93,"Luis D")+COUNTIF($C$110:$D$115,"Luis D")</f>
        <v>2</v>
      </c>
      <c r="L147" s="41">
        <f t="shared" si="7"/>
        <v>16</v>
      </c>
      <c r="N147">
        <v>3</v>
      </c>
    </row>
    <row r="148" spans="3:16">
      <c r="C148" s="38" t="s">
        <v>11</v>
      </c>
      <c r="D148" s="39">
        <f>COUNTIF($C$9:$I$13,"Julio")-COUNTIF($C$14:$I$19,"Julio")+COUNTIF($C$33:$I$37,"Julio")-COUNTIF($C$38:$I$42,"Julio")+COUNTIF($C$54:$E$58,"Julio")-COUNTIF($C$59:$E$63,"Julio")</f>
        <v>0</v>
      </c>
      <c r="E148" s="39">
        <f>COUNTIF($C$20:$I$24,"Julio")-COUNTIF($C$25:$I$30,"Julio")+COUNTIF($C$43:$I$47,"Julio")-COUNTIF($C$48:$I$51,"Julio")+COUNTIF($C$64:$E$68,"Julio")-COUNTIF($C$69:$E$72,"Julio")</f>
        <v>13</v>
      </c>
      <c r="F148" s="39">
        <f>+COUNTIF($C$14:$I$19,"Julio")+COUNTIF($C$38:$I$42,"Julio")+COUNTIF($C$59:$E$63,"Julio")+COUNTIF($C$25:$I$30,"Julio")+COUNTIF($C$48:$I$51,"Julio")+COUNTIF($C$69:$E$72,"Julio")</f>
        <v>2</v>
      </c>
      <c r="G148" s="40">
        <f t="shared" ref="G148:G149" si="8">+F148+E148+D148</f>
        <v>15</v>
      </c>
      <c r="H148" s="38" t="s">
        <v>11</v>
      </c>
      <c r="I148" s="39">
        <f>COUNTIF($C$54:$I$58,"Julio")-COUNTIF($C$59:$I$63,"Julio")+COUNTIF($C$75:$I$79,"Julio")-COUNTIF($C$80:$I$83,"Julio")+COUNTIF($C$96:$D$100,"Julio")-COUNTIF($C$101:$D$104,"Julio")</f>
        <v>0</v>
      </c>
      <c r="J148" s="39">
        <f>COUNTIF($C$64:$I$68,"Julio")-COUNTIF($C$69:$I$72,"Julio")+COUNTIF($C$84:$I$88,"Julio")-COUNTIF($C$89:$I$93,"Julio")+COUNTIF($C$105:$D$109,"Julio")-COUNTIF($C$110:$D$115,"Julio")</f>
        <v>14</v>
      </c>
      <c r="K148" s="39">
        <f>COUNTIF($C$59:$I$63,"Julio")+COUNTIF($C$80:$I$83,"Julio")+COUNTIF($C$101:$D$104,"Julio")+COUNTIF($C$69:$I$72,"Julio")+COUNTIF($C$89:$I$93,"Julio")+COUNTIF($C$110:$D$115,"Julio")</f>
        <v>2</v>
      </c>
      <c r="L148" s="40">
        <f>+K148+J148+I148</f>
        <v>16</v>
      </c>
      <c r="N148">
        <v>3</v>
      </c>
    </row>
    <row r="149" spans="3:16">
      <c r="C149" t="s">
        <v>8</v>
      </c>
      <c r="D149" s="39">
        <f>COUNTIF($C$9:$I$13,"Joel")-COUNTIF($C$14:$I$19,"Joel")+COUNTIF($C$33:$I$37,"Joel")-COUNTIF($C$38:$I$42,"Joel")+COUNTIF($C$54:$E$58,"Joel")-COUNTIF($C$59:$E$63,"Joel")</f>
        <v>11</v>
      </c>
      <c r="E149" s="39">
        <f>COUNTIF($C$20:$I$24,"Joel")-COUNTIF($C$25:$I$30,"Joel")+COUNTIF($C$43:$I$47,"Joel")-COUNTIF($C$48:$I$51,"Joel")+COUNTIF($C$64:$E$68,"Joel")-COUNTIF($C$69:$E$72,"Joel")</f>
        <v>2</v>
      </c>
      <c r="F149" s="39">
        <f>+COUNTIF($C$14:$I$19,"Joel")+COUNTIF($C$38:$I$42,"Joel")+COUNTIF($C$59:$E$63,"Joel")+COUNTIF($C$25:$I$30,"Joel")+COUNTIF($C$48:$I$51,"Joel")+COUNTIF($C$69:$E$72,"Joel")</f>
        <v>3</v>
      </c>
      <c r="G149" s="40">
        <f t="shared" si="8"/>
        <v>16</v>
      </c>
      <c r="H149" t="s">
        <v>8</v>
      </c>
      <c r="I149" s="39">
        <f>COUNTIF($C$54:$I$58,"Joel")-COUNTIF($C$59:$I$63,"Joel")+COUNTIF($C$75:$I$79,"Joel")-COUNTIF($C$80:$I$83,"Joel")+COUNTIF($C$96:$D$100,"Joel")-COUNTIF($C$101:$D$104,"Joel")</f>
        <v>13</v>
      </c>
      <c r="J149" s="39">
        <f>COUNTIF($C$64:$I$68,"Joel")-COUNTIF($C$69:$I$72,"Joel")+COUNTIF($C$84:$I$88,"Joel")-COUNTIF($C$89:$I$93,"Joel")+COUNTIF($C$105:$D$109,"Joel")-COUNTIF($C$110:$D$115,"Joel")</f>
        <v>2</v>
      </c>
      <c r="K149" s="39">
        <f>COUNTIF($C$59:$I$63,"Joel")+COUNTIF($C$80:$I$83,"Joel")+COUNTIF($C$101:$D$104,"Joel")+COUNTIF($C$69:$I$72,"Joel")+COUNTIF($C$89:$I$93,"Joel")+COUNTIF($C$110:$D$115,"Joel")</f>
        <v>3</v>
      </c>
      <c r="L149" s="41">
        <f t="shared" si="7"/>
        <v>18</v>
      </c>
      <c r="N149">
        <v>3</v>
      </c>
    </row>
    <row r="150" spans="3:16">
      <c r="C150" s="38" t="s">
        <v>6</v>
      </c>
      <c r="D150" s="39">
        <f>COUNTIF($C$9:$I$13,"Jose")-COUNTIF($C$14:$I$19,"Jose")+COUNTIF($C$33:$I$37,"Jose")-COUNTIF($C$38:$I$42,"Jose")+COUNTIF($C$54:$E$58,"Jose")-COUNTIF($C$59:$E$63,"Jose")</f>
        <v>3</v>
      </c>
      <c r="E150" s="39">
        <f>COUNTIF($C$20:$I$24,"Jose")-COUNTIF($C$25:$I$30,"Jose")+COUNTIF($C$43:$I$47,"Jose")-COUNTIF($C$48:$I$51,"Jose")+COUNTIF($C$64:$E$68,"Jose")-COUNTIF($C$69:$E$72,"Jose")</f>
        <v>9</v>
      </c>
      <c r="F150" s="39">
        <f>+COUNTIF($C$14:$I$19,"Jose")+COUNTIF($C$38:$I$42,"Jose")+COUNTIF($C$59:$E$63,"Jose")+COUNTIF($C$25:$I$30,"Jose")+COUNTIF($C$48:$I$51,"Jose")+COUNTIF($C$69:$E$72,"Jose")</f>
        <v>5</v>
      </c>
      <c r="G150" s="40">
        <f>+F150+E150+D150</f>
        <v>17</v>
      </c>
      <c r="H150" s="38" t="s">
        <v>6</v>
      </c>
      <c r="I150" s="39">
        <f>COUNTIF($C$54:$I$58,"Jose")-COUNTIF($C$59:$I$63,"Jose")+COUNTIF($C$75:$I$79,"Jose")-COUNTIF($C$80:$I$83,"Jose")+COUNTIF($C$96:$D$100,"Jose")-COUNTIF($C$101:$D$104,"Jose")</f>
        <v>5</v>
      </c>
      <c r="J150" s="39">
        <f>COUNTIF($C$64:$I$68,"Jose")-COUNTIF($C$69:$I$72,"Jose")+COUNTIF($C$84:$I$88,"Jose")-COUNTIF($C$89:$I$93,"Jose")+COUNTIF($C$105:$D$109,"Jose")-COUNTIF($C$110:$D$115,"Jose")</f>
        <v>18</v>
      </c>
      <c r="K150" s="39">
        <f>COUNTIF($C$59:$I$63,"Jose")+COUNTIF($C$80:$I$83,"Jose")+COUNTIF($C$101:$D$104,"Jose")+COUNTIF($C$69:$I$72,"Jose")+COUNTIF($C$89:$I$93,"Jose")+COUNTIF($C$110:$D$115,"Jose")</f>
        <v>3</v>
      </c>
      <c r="L150" s="40">
        <f t="shared" si="7"/>
        <v>26</v>
      </c>
      <c r="N150">
        <v>3</v>
      </c>
    </row>
    <row r="151" spans="3:16">
      <c r="C151" t="s">
        <v>14</v>
      </c>
      <c r="D151" s="39">
        <f>COUNTIF($C$9:$I$13,"Lester")-COUNTIF($C$14:$I$19,"Lester")+COUNTIF($C$33:$I$37,"Lester")-COUNTIF($C$38:$I$42,"Lester")+COUNTIF($C$54:$E$58,"Lester")-COUNTIF($C$59:$E$63,"Lester")</f>
        <v>3</v>
      </c>
      <c r="E151" s="39">
        <f>COUNTIF($C$20:$I$24,"Lester")-COUNTIF($C$25:$I$30,"Lester")+COUNTIF($C$43:$I$47,"Lester")-COUNTIF($C$48:$I$51,"Lester")+COUNTIF($C$64:$E$68,"Lester")-COUNTIF($C$69:$E$72,"Lester")</f>
        <v>8</v>
      </c>
      <c r="F151" s="39">
        <f>+COUNTIF($C$14:$I$19,"Lester")+COUNTIF($C$38:$I$42,"Lester")+COUNTIF($C$59:$E$63,"Lester")+COUNTIF($C$25:$I$30,"Lester")+COUNTIF($C$48:$I$51,"Lester")+COUNTIF($C$69:$E$72,"Lester")</f>
        <v>4</v>
      </c>
      <c r="G151" s="40">
        <f>+F151+E151+D151</f>
        <v>15</v>
      </c>
      <c r="H151" t="s">
        <v>14</v>
      </c>
      <c r="I151" s="39">
        <f>COUNTIF($C$54:$I$58,"Lester")-COUNTIF($C$59:$I$63,"Lester")+COUNTIF($C$75:$I$79,"Lester")-COUNTIF($C$80:$I$83,"Lester")+COUNTIF($C$96:$D$100,"Lester")-COUNTIF($C$101:$D$104,"Lester")</f>
        <v>0</v>
      </c>
      <c r="J151" s="39">
        <f>COUNTIF($C$64:$I$68,"Lester")-COUNTIF($C$69:$I$72,"Lester")+COUNTIF($C$84:$I$88,"Lester")-COUNTIF($C$89:$I$93,"Lester")+COUNTIF($C$105:$D$109,"Lester")-COUNTIF($C$110:$D$115,"Lester")</f>
        <v>13</v>
      </c>
      <c r="K151" s="39">
        <f>COUNTIF($C$59:$I$63,"Lester")+COUNTIF($C$80:$I$83,"Lester")+COUNTIF($C$101:$D$104,"Lester")+COUNTIF($C$69:$I$72,"Lester")+COUNTIF($C$89:$I$93,"Lester")+COUNTIF($C$110:$D$115,"Lester")</f>
        <v>3</v>
      </c>
      <c r="L151" s="41">
        <f t="shared" si="7"/>
        <v>16</v>
      </c>
    </row>
    <row r="152" spans="3:16">
      <c r="D152" s="2">
        <f>SUM(D144:D151)</f>
        <v>53</v>
      </c>
      <c r="E152" s="2">
        <f t="shared" ref="E152:G152" si="9">SUM(E144:E151)</f>
        <v>48</v>
      </c>
      <c r="F152" s="2">
        <f t="shared" si="9"/>
        <v>23</v>
      </c>
      <c r="G152" s="2">
        <f t="shared" si="9"/>
        <v>124</v>
      </c>
      <c r="I152" s="2">
        <f t="shared" ref="I152:L152" si="10">SUM(I144:I151)</f>
        <v>58</v>
      </c>
      <c r="J152" s="2">
        <f>SUM(J144:J151)</f>
        <v>58</v>
      </c>
      <c r="K152" s="2">
        <f t="shared" si="10"/>
        <v>20</v>
      </c>
      <c r="L152" s="2">
        <f t="shared" si="10"/>
        <v>136</v>
      </c>
    </row>
    <row r="157" spans="3:16">
      <c r="C157" t="s">
        <v>36</v>
      </c>
      <c r="E157">
        <f>+F152+K152</f>
        <v>43</v>
      </c>
    </row>
    <row r="159" spans="3:16">
      <c r="C159" t="s">
        <v>37</v>
      </c>
      <c r="E159">
        <f>7*28</f>
        <v>196</v>
      </c>
    </row>
  </sheetData>
  <mergeCells count="33">
    <mergeCell ref="B2:I2"/>
    <mergeCell ref="B3:I3"/>
    <mergeCell ref="A8:A30"/>
    <mergeCell ref="B9:B13"/>
    <mergeCell ref="B20:B24"/>
    <mergeCell ref="B25:B27"/>
    <mergeCell ref="A53:A72"/>
    <mergeCell ref="B54:B58"/>
    <mergeCell ref="B61:B62"/>
    <mergeCell ref="B64:B68"/>
    <mergeCell ref="B69:B70"/>
    <mergeCell ref="A32:A51"/>
    <mergeCell ref="B33:B37"/>
    <mergeCell ref="B40:B41"/>
    <mergeCell ref="B43:B47"/>
    <mergeCell ref="B48:B49"/>
    <mergeCell ref="A95:A114"/>
    <mergeCell ref="B96:B100"/>
    <mergeCell ref="B105:B109"/>
    <mergeCell ref="B110:B112"/>
    <mergeCell ref="B113:B114"/>
    <mergeCell ref="A74:A93"/>
    <mergeCell ref="B75:B79"/>
    <mergeCell ref="B84:B88"/>
    <mergeCell ref="B89:B90"/>
    <mergeCell ref="B91:B92"/>
    <mergeCell ref="I142:M142"/>
    <mergeCell ref="A117:A136"/>
    <mergeCell ref="B118:B122"/>
    <mergeCell ref="B127:B131"/>
    <mergeCell ref="B132:B134"/>
    <mergeCell ref="B135:B136"/>
    <mergeCell ref="C142:G142"/>
  </mergeCells>
  <pageMargins left="0.7" right="0.7" top="0.75" bottom="0.75" header="0.3" footer="0.3"/>
  <pageSetup paperSize="9" scale="2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443E-8DF4-4440-B5E7-7BA5856895B9}">
  <dimension ref="A1:AH64"/>
  <sheetViews>
    <sheetView showGridLines="0" topLeftCell="A35" workbookViewId="0">
      <selection activeCell="D49" sqref="D49"/>
    </sheetView>
  </sheetViews>
  <sheetFormatPr baseColWidth="10" defaultColWidth="9.125" defaultRowHeight="24"/>
  <cols>
    <col min="1" max="1" width="7" bestFit="1" customWidth="1"/>
    <col min="2" max="2" width="7" style="69" bestFit="1" customWidth="1"/>
    <col min="3" max="3" width="11" bestFit="1" customWidth="1"/>
    <col min="4" max="4" width="17.875" style="50" customWidth="1"/>
    <col min="5" max="5" width="14" style="50" customWidth="1"/>
    <col min="6" max="6" width="12.875" style="50" customWidth="1"/>
    <col min="7" max="7" width="15.5" style="50" customWidth="1"/>
    <col min="8" max="8" width="12.625" style="50" bestFit="1" customWidth="1"/>
    <col min="9" max="9" width="14.375" style="50" customWidth="1"/>
    <col min="10" max="10" width="14.375" style="50" bestFit="1" customWidth="1"/>
    <col min="11" max="11" width="5.5" customWidth="1"/>
    <col min="12" max="12" width="7" bestFit="1" customWidth="1"/>
    <col min="13" max="13" width="14.5" bestFit="1" customWidth="1"/>
    <col min="14" max="14" width="11.625" bestFit="1" customWidth="1"/>
    <col min="15" max="15" width="14.5" style="50" customWidth="1"/>
    <col min="16" max="16" width="13.125" style="50" customWidth="1"/>
    <col min="17" max="17" width="12" style="50" bestFit="1" customWidth="1"/>
    <col min="18" max="18" width="12.625" style="50" bestFit="1" customWidth="1"/>
    <col min="19" max="19" width="13" style="50" bestFit="1" customWidth="1"/>
    <col min="20" max="21" width="14.375" style="50" bestFit="1" customWidth="1"/>
  </cols>
  <sheetData>
    <row r="1" spans="1:34" ht="15.75" customHeight="1"/>
    <row r="2" spans="1:34" ht="22.5" customHeight="1">
      <c r="C2" s="141" t="s">
        <v>0</v>
      </c>
      <c r="D2" s="141"/>
      <c r="E2" s="141"/>
      <c r="F2" s="141"/>
      <c r="G2" s="141"/>
      <c r="H2" s="141"/>
      <c r="I2" s="141"/>
      <c r="J2" s="141"/>
    </row>
    <row r="3" spans="1:34" ht="19.5" customHeight="1">
      <c r="C3" s="142" t="s">
        <v>38</v>
      </c>
      <c r="D3" s="142"/>
      <c r="E3" s="142"/>
      <c r="F3" s="142"/>
      <c r="G3" s="142"/>
      <c r="H3" s="142"/>
      <c r="I3" s="142"/>
      <c r="J3" s="142"/>
    </row>
    <row r="4" spans="1:34" ht="15.75" customHeight="1"/>
    <row r="5" spans="1:34" ht="15.75" customHeight="1">
      <c r="C5" s="3" t="s">
        <v>52</v>
      </c>
    </row>
    <row r="6" spans="1:34" ht="15.75" customHeight="1">
      <c r="L6" s="69"/>
    </row>
    <row r="7" spans="1:34" ht="24" customHeight="1">
      <c r="A7" s="163" t="s">
        <v>2</v>
      </c>
      <c r="B7" s="164" t="s">
        <v>53</v>
      </c>
      <c r="C7" s="72" t="s">
        <v>3</v>
      </c>
      <c r="D7" s="6" t="s">
        <v>49</v>
      </c>
      <c r="E7" s="6" t="s">
        <v>48</v>
      </c>
      <c r="F7" s="6" t="s">
        <v>47</v>
      </c>
      <c r="G7" s="6" t="s">
        <v>50</v>
      </c>
      <c r="H7" s="6" t="s">
        <v>51</v>
      </c>
      <c r="I7" s="6" t="s">
        <v>82</v>
      </c>
      <c r="J7" s="6" t="s">
        <v>83</v>
      </c>
      <c r="M7" s="51"/>
      <c r="N7" s="73">
        <v>25</v>
      </c>
      <c r="O7" s="74">
        <v>1</v>
      </c>
      <c r="P7" s="74"/>
      <c r="Y7" s="2" t="s">
        <v>54</v>
      </c>
      <c r="Z7" s="2" t="s">
        <v>33</v>
      </c>
      <c r="AA7" s="2" t="s">
        <v>34</v>
      </c>
      <c r="AB7" s="2" t="s">
        <v>55</v>
      </c>
      <c r="AC7" s="2" t="s">
        <v>56</v>
      </c>
      <c r="AD7" s="2" t="s">
        <v>57</v>
      </c>
      <c r="AE7" s="2" t="s">
        <v>58</v>
      </c>
      <c r="AF7" s="2" t="s">
        <v>59</v>
      </c>
      <c r="AG7" s="2" t="s">
        <v>60</v>
      </c>
    </row>
    <row r="8" spans="1:34" ht="15.75">
      <c r="A8" s="163"/>
      <c r="B8" s="164"/>
      <c r="C8" s="72" t="s">
        <v>5</v>
      </c>
      <c r="D8" s="10" t="s">
        <v>81</v>
      </c>
      <c r="E8" s="9" t="s">
        <v>62</v>
      </c>
      <c r="F8" s="9" t="s">
        <v>61</v>
      </c>
      <c r="G8" s="9" t="s">
        <v>62</v>
      </c>
      <c r="H8" s="9" t="s">
        <v>63</v>
      </c>
      <c r="I8" s="9" t="s">
        <v>63</v>
      </c>
      <c r="J8" s="9" t="s">
        <v>63</v>
      </c>
      <c r="M8" s="54" t="s">
        <v>64</v>
      </c>
      <c r="X8" t="s">
        <v>65</v>
      </c>
      <c r="Y8" s="2">
        <v>3</v>
      </c>
      <c r="Z8" s="2"/>
      <c r="AA8" s="2"/>
      <c r="AB8" s="2">
        <v>2</v>
      </c>
      <c r="AC8" s="2">
        <v>-2</v>
      </c>
      <c r="AD8" s="2">
        <v>-1</v>
      </c>
      <c r="AE8" s="2">
        <v>-2</v>
      </c>
      <c r="AF8" s="2"/>
      <c r="AG8" s="2">
        <f>SUM(Y8:AE8)</f>
        <v>0</v>
      </c>
      <c r="AH8" s="2"/>
    </row>
    <row r="9" spans="1:34" ht="15.75">
      <c r="A9" s="163"/>
      <c r="B9" s="164"/>
      <c r="C9" s="72" t="s">
        <v>66</v>
      </c>
      <c r="D9" s="9"/>
      <c r="E9" s="9" t="s">
        <v>75</v>
      </c>
      <c r="F9" s="9"/>
      <c r="G9" s="9"/>
      <c r="H9" s="9"/>
      <c r="I9" s="9"/>
      <c r="J9" s="9"/>
      <c r="M9" t="s">
        <v>67</v>
      </c>
      <c r="X9" t="s">
        <v>68</v>
      </c>
      <c r="Y9" s="2">
        <v>3</v>
      </c>
      <c r="Z9" s="2"/>
      <c r="AA9" s="2">
        <v>-2</v>
      </c>
      <c r="AB9" s="2">
        <v>2</v>
      </c>
      <c r="AC9" s="2">
        <v>-1</v>
      </c>
      <c r="AD9" s="2"/>
      <c r="AE9" s="2">
        <v>-2</v>
      </c>
      <c r="AF9" s="2"/>
      <c r="AG9" s="2">
        <f t="shared" ref="AG9:AG12" si="0">SUM(Y9:AE9)</f>
        <v>0</v>
      </c>
      <c r="AH9" s="75"/>
    </row>
    <row r="10" spans="1:34" ht="15.75">
      <c r="A10" s="163"/>
      <c r="B10" s="164"/>
      <c r="C10" s="76" t="s">
        <v>12</v>
      </c>
      <c r="D10" s="18" t="s">
        <v>7</v>
      </c>
      <c r="E10" s="81"/>
      <c r="F10" s="81"/>
      <c r="G10" s="81"/>
      <c r="H10" s="81"/>
      <c r="I10" s="81"/>
      <c r="J10" s="81"/>
      <c r="X10" t="s">
        <v>69</v>
      </c>
      <c r="Y10" s="2">
        <v>3</v>
      </c>
      <c r="Z10" s="2"/>
      <c r="AA10" s="2"/>
      <c r="AB10" s="2">
        <v>2</v>
      </c>
      <c r="AC10" s="2"/>
      <c r="AD10" s="2">
        <f>-1-1-1</f>
        <v>-3</v>
      </c>
      <c r="AE10" s="2">
        <v>-1</v>
      </c>
      <c r="AF10" s="2">
        <v>-1</v>
      </c>
      <c r="AG10" s="2">
        <f>SUM(Y10:AF10)</f>
        <v>0</v>
      </c>
      <c r="AH10" s="75"/>
    </row>
    <row r="11" spans="1:34" ht="15.75">
      <c r="A11" s="163"/>
      <c r="B11" s="164"/>
      <c r="C11" s="77" t="s">
        <v>15</v>
      </c>
      <c r="D11" s="81"/>
      <c r="E11" s="81"/>
      <c r="F11" s="81"/>
      <c r="G11" s="81"/>
      <c r="H11" s="81"/>
      <c r="I11" s="81"/>
      <c r="J11" s="81"/>
      <c r="X11" t="s">
        <v>70</v>
      </c>
      <c r="Y11" s="2">
        <v>3</v>
      </c>
      <c r="Z11" s="2">
        <v>-1</v>
      </c>
      <c r="AA11" s="2">
        <v>-2</v>
      </c>
      <c r="AB11" s="2">
        <v>2</v>
      </c>
      <c r="AC11" s="2">
        <v>-1</v>
      </c>
      <c r="AD11" s="2"/>
      <c r="AE11" s="2">
        <v>-1</v>
      </c>
      <c r="AF11" s="2"/>
      <c r="AG11" s="2">
        <f t="shared" si="0"/>
        <v>0</v>
      </c>
      <c r="AH11" s="75"/>
    </row>
    <row r="12" spans="1:34" ht="15.75">
      <c r="A12" s="163"/>
      <c r="B12" s="164"/>
      <c r="C12" s="78" t="s">
        <v>17</v>
      </c>
      <c r="D12" s="81"/>
      <c r="E12" s="81"/>
      <c r="F12" s="81"/>
      <c r="G12" s="81"/>
      <c r="H12" s="81"/>
      <c r="I12" s="81"/>
      <c r="J12" s="81"/>
      <c r="X12" s="79" t="s">
        <v>71</v>
      </c>
      <c r="Y12" s="2">
        <v>3</v>
      </c>
      <c r="Z12" s="2">
        <v>-3</v>
      </c>
      <c r="AA12" s="2"/>
      <c r="AB12" s="2">
        <v>2</v>
      </c>
      <c r="AC12" s="2">
        <v>-1</v>
      </c>
      <c r="AD12" s="2"/>
      <c r="AE12" s="2">
        <v>-1</v>
      </c>
      <c r="AF12" s="2"/>
      <c r="AG12" s="2">
        <f t="shared" si="0"/>
        <v>0</v>
      </c>
      <c r="AH12" s="2"/>
    </row>
    <row r="13" spans="1:34" ht="15.75">
      <c r="A13" s="163"/>
      <c r="B13" s="164"/>
      <c r="C13" s="72" t="s">
        <v>18</v>
      </c>
      <c r="D13" s="9" t="s">
        <v>63</v>
      </c>
      <c r="E13" s="9" t="s">
        <v>63</v>
      </c>
      <c r="F13" s="9" t="s">
        <v>63</v>
      </c>
      <c r="G13" s="9" t="s">
        <v>72</v>
      </c>
      <c r="H13" s="9" t="s">
        <v>73</v>
      </c>
      <c r="I13" s="9" t="s">
        <v>73</v>
      </c>
      <c r="J13" s="9" t="s">
        <v>80</v>
      </c>
      <c r="M13" s="35">
        <f>14.58*1304509.59</f>
        <v>19019749.8222</v>
      </c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>
      <c r="A14" s="163"/>
      <c r="B14" s="164"/>
      <c r="C14" s="76" t="s">
        <v>12</v>
      </c>
      <c r="D14" s="80"/>
      <c r="E14" s="81"/>
      <c r="F14" s="80"/>
      <c r="G14" s="18" t="s">
        <v>63</v>
      </c>
      <c r="H14" s="80"/>
      <c r="I14" s="80"/>
      <c r="J14" s="81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>
      <c r="A15" s="163"/>
      <c r="B15" s="164"/>
      <c r="C15" s="77" t="s">
        <v>15</v>
      </c>
      <c r="D15" s="81"/>
      <c r="E15" s="81"/>
      <c r="F15" s="81"/>
      <c r="G15" s="81"/>
      <c r="H15" s="81"/>
      <c r="I15" s="81"/>
      <c r="J15" s="81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>
      <c r="A16" s="163"/>
      <c r="B16" s="70"/>
      <c r="C16" s="78" t="s">
        <v>17</v>
      </c>
      <c r="D16" s="88" t="s">
        <v>64</v>
      </c>
      <c r="E16" s="88" t="s">
        <v>64</v>
      </c>
      <c r="F16" s="88" t="s">
        <v>64</v>
      </c>
      <c r="G16" s="88" t="s">
        <v>64</v>
      </c>
      <c r="H16" s="88" t="s">
        <v>64</v>
      </c>
      <c r="I16" s="88" t="s">
        <v>64</v>
      </c>
      <c r="J16" s="88" t="s">
        <v>64</v>
      </c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23" ht="13.5" customHeight="1">
      <c r="A17" s="82"/>
      <c r="D17" s="11"/>
      <c r="E17" s="11"/>
      <c r="F17" s="11"/>
      <c r="G17" s="11"/>
      <c r="H17" s="11"/>
      <c r="I17" s="11"/>
      <c r="J17" s="11"/>
    </row>
    <row r="18" spans="1:23" ht="15" customHeight="1">
      <c r="A18" s="163" t="s">
        <v>19</v>
      </c>
      <c r="B18" s="164" t="s">
        <v>53</v>
      </c>
      <c r="C18" s="72" t="s">
        <v>3</v>
      </c>
      <c r="D18" s="6" t="s">
        <v>84</v>
      </c>
      <c r="E18" s="6" t="s">
        <v>85</v>
      </c>
      <c r="F18" s="6" t="s">
        <v>86</v>
      </c>
      <c r="G18" s="6" t="s">
        <v>87</v>
      </c>
      <c r="H18" s="6" t="s">
        <v>88</v>
      </c>
      <c r="I18" s="6" t="s">
        <v>89</v>
      </c>
      <c r="J18" s="6" t="s">
        <v>90</v>
      </c>
    </row>
    <row r="19" spans="1:23" ht="31.5" customHeight="1">
      <c r="A19" s="163"/>
      <c r="B19" s="164"/>
      <c r="C19" s="72" t="s">
        <v>5</v>
      </c>
      <c r="D19" s="9" t="s">
        <v>63</v>
      </c>
      <c r="E19" s="9" t="s">
        <v>63</v>
      </c>
      <c r="F19" s="9" t="s">
        <v>63</v>
      </c>
      <c r="G19" s="10" t="s">
        <v>63</v>
      </c>
      <c r="H19" s="9" t="s">
        <v>63</v>
      </c>
      <c r="I19" s="9" t="s">
        <v>63</v>
      </c>
      <c r="J19" s="9" t="s">
        <v>63</v>
      </c>
      <c r="W19" s="83" t="s">
        <v>74</v>
      </c>
    </row>
    <row r="20" spans="1:23" ht="15.75">
      <c r="A20" s="163"/>
      <c r="B20" s="164"/>
      <c r="C20" s="72" t="s">
        <v>66</v>
      </c>
      <c r="D20" s="9"/>
      <c r="E20" s="9" t="s">
        <v>75</v>
      </c>
      <c r="F20" s="9"/>
      <c r="G20" s="9" t="s">
        <v>75</v>
      </c>
      <c r="H20" s="9"/>
      <c r="I20" s="9"/>
      <c r="J20" s="9"/>
      <c r="W20" t="s">
        <v>76</v>
      </c>
    </row>
    <row r="21" spans="1:23" ht="15.75">
      <c r="A21" s="163"/>
      <c r="B21" s="164"/>
      <c r="C21" s="76" t="s">
        <v>12</v>
      </c>
      <c r="D21" s="81"/>
      <c r="E21" s="81"/>
      <c r="F21" s="81"/>
      <c r="G21" s="18" t="s">
        <v>63</v>
      </c>
      <c r="H21" s="81"/>
      <c r="I21" s="81"/>
      <c r="J21" s="81"/>
      <c r="W21" t="s">
        <v>77</v>
      </c>
    </row>
    <row r="22" spans="1:23" ht="15.75">
      <c r="A22" s="163"/>
      <c r="B22" s="164"/>
      <c r="C22" s="77" t="s">
        <v>15</v>
      </c>
      <c r="D22" s="81"/>
      <c r="E22" s="81"/>
      <c r="F22" s="81"/>
      <c r="G22" s="81"/>
      <c r="H22" s="81"/>
      <c r="I22" s="81"/>
      <c r="J22" s="81"/>
    </row>
    <row r="23" spans="1:23" ht="15.75">
      <c r="A23" s="163"/>
      <c r="B23" s="164"/>
      <c r="C23" s="78" t="s">
        <v>17</v>
      </c>
      <c r="D23" s="81"/>
      <c r="E23" s="81"/>
      <c r="F23" s="81"/>
      <c r="G23" s="81"/>
      <c r="H23" s="81"/>
      <c r="I23" s="81"/>
      <c r="J23" s="81"/>
    </row>
    <row r="24" spans="1:23" ht="15.75">
      <c r="A24" s="163"/>
      <c r="B24" s="164"/>
      <c r="C24" s="72" t="s">
        <v>18</v>
      </c>
      <c r="D24" s="9" t="s">
        <v>78</v>
      </c>
      <c r="E24" s="9" t="s">
        <v>79</v>
      </c>
      <c r="F24" s="9" t="s">
        <v>79</v>
      </c>
      <c r="G24" s="9" t="s">
        <v>79</v>
      </c>
      <c r="H24" s="9" t="s">
        <v>79</v>
      </c>
      <c r="I24" s="9" t="s">
        <v>79</v>
      </c>
      <c r="J24" s="9" t="s">
        <v>79</v>
      </c>
    </row>
    <row r="25" spans="1:23" ht="15.75">
      <c r="A25" s="163"/>
      <c r="B25" s="164"/>
      <c r="C25" s="76" t="s">
        <v>12</v>
      </c>
      <c r="D25" s="18" t="s">
        <v>7</v>
      </c>
      <c r="E25" s="80"/>
      <c r="F25" s="80"/>
      <c r="G25" s="81"/>
      <c r="H25" s="80"/>
      <c r="I25" s="80"/>
      <c r="J25" s="81"/>
    </row>
    <row r="26" spans="1:23" ht="15.75">
      <c r="A26" s="163"/>
      <c r="B26" s="164"/>
      <c r="C26" s="77" t="s">
        <v>15</v>
      </c>
      <c r="D26" s="80"/>
      <c r="E26" s="81"/>
      <c r="F26" s="81"/>
      <c r="G26" s="81"/>
      <c r="H26" s="81"/>
      <c r="I26" s="81"/>
      <c r="J26" s="81"/>
    </row>
    <row r="27" spans="1:23" ht="15.75">
      <c r="A27" s="163"/>
      <c r="B27" s="70"/>
      <c r="C27" s="78" t="s">
        <v>17</v>
      </c>
      <c r="D27" s="88" t="s">
        <v>64</v>
      </c>
      <c r="E27" s="88" t="s">
        <v>64</v>
      </c>
      <c r="F27" s="88" t="s">
        <v>64</v>
      </c>
      <c r="G27" s="88" t="s">
        <v>64</v>
      </c>
      <c r="H27" s="88" t="s">
        <v>64</v>
      </c>
      <c r="I27" s="88" t="s">
        <v>64</v>
      </c>
      <c r="J27" s="88" t="s">
        <v>64</v>
      </c>
    </row>
    <row r="28" spans="1:23" ht="14.25" customHeight="1">
      <c r="A28" s="82"/>
      <c r="D28" s="11"/>
      <c r="E28" s="11"/>
      <c r="F28" s="11"/>
      <c r="G28" s="11"/>
      <c r="H28" s="11"/>
      <c r="I28" s="11"/>
      <c r="J28" s="11"/>
    </row>
    <row r="29" spans="1:23" ht="15.75">
      <c r="A29" s="163" t="s">
        <v>20</v>
      </c>
      <c r="B29" s="164" t="s">
        <v>53</v>
      </c>
      <c r="C29" s="72" t="s">
        <v>3</v>
      </c>
      <c r="D29" s="6" t="s">
        <v>91</v>
      </c>
      <c r="E29" s="6" t="s">
        <v>92</v>
      </c>
      <c r="F29" s="6" t="s">
        <v>93</v>
      </c>
      <c r="G29" s="6" t="s">
        <v>94</v>
      </c>
      <c r="H29" s="6" t="s">
        <v>95</v>
      </c>
      <c r="I29" s="6" t="s">
        <v>96</v>
      </c>
      <c r="J29" s="6" t="s">
        <v>97</v>
      </c>
    </row>
    <row r="30" spans="1:23" ht="31.5" customHeight="1">
      <c r="A30" s="163"/>
      <c r="B30" s="164"/>
      <c r="C30" s="72" t="s">
        <v>5</v>
      </c>
      <c r="D30" s="9" t="s">
        <v>63</v>
      </c>
      <c r="E30" s="9" t="s">
        <v>63</v>
      </c>
      <c r="F30" s="9" t="s">
        <v>63</v>
      </c>
      <c r="G30" s="10" t="s">
        <v>63</v>
      </c>
      <c r="H30" s="9" t="s">
        <v>63</v>
      </c>
      <c r="I30" s="9" t="s">
        <v>63</v>
      </c>
      <c r="J30" s="9" t="s">
        <v>63</v>
      </c>
    </row>
    <row r="31" spans="1:23" ht="15.75">
      <c r="A31" s="163"/>
      <c r="B31" s="164"/>
      <c r="C31" s="72" t="s">
        <v>66</v>
      </c>
      <c r="D31" s="9"/>
      <c r="E31" s="9" t="s">
        <v>75</v>
      </c>
      <c r="F31" s="9"/>
      <c r="G31" s="9" t="s">
        <v>75</v>
      </c>
      <c r="H31" s="9"/>
      <c r="I31" s="9"/>
      <c r="J31" s="9"/>
    </row>
    <row r="32" spans="1:23" ht="15.75">
      <c r="A32" s="163"/>
      <c r="B32" s="164"/>
      <c r="C32" s="76" t="s">
        <v>12</v>
      </c>
      <c r="D32" s="81"/>
      <c r="E32" s="81"/>
      <c r="F32" s="81"/>
      <c r="G32" s="18" t="s">
        <v>63</v>
      </c>
      <c r="H32" s="81"/>
      <c r="I32" s="81"/>
      <c r="J32" s="81"/>
    </row>
    <row r="33" spans="1:21" ht="15.75">
      <c r="A33" s="163"/>
      <c r="B33" s="164"/>
      <c r="C33" s="77" t="s">
        <v>15</v>
      </c>
      <c r="D33" s="81"/>
      <c r="E33" s="81"/>
      <c r="F33" s="81"/>
      <c r="G33" s="81"/>
      <c r="H33" s="81"/>
      <c r="I33" s="81"/>
      <c r="J33" s="81"/>
    </row>
    <row r="34" spans="1:21" ht="15.75">
      <c r="A34" s="163"/>
      <c r="B34" s="164"/>
      <c r="C34" s="78" t="s">
        <v>17</v>
      </c>
      <c r="D34" s="81"/>
      <c r="E34" s="81"/>
      <c r="F34" s="81"/>
      <c r="G34" s="81"/>
      <c r="H34" s="81"/>
      <c r="I34" s="81"/>
      <c r="J34" s="81"/>
    </row>
    <row r="35" spans="1:21" ht="15.75">
      <c r="A35" s="163"/>
      <c r="B35" s="164"/>
      <c r="C35" s="72" t="s">
        <v>18</v>
      </c>
      <c r="D35" s="9" t="s">
        <v>78</v>
      </c>
      <c r="E35" s="9" t="s">
        <v>79</v>
      </c>
      <c r="F35" s="9" t="s">
        <v>79</v>
      </c>
      <c r="G35" s="9" t="s">
        <v>79</v>
      </c>
      <c r="H35" s="9" t="s">
        <v>79</v>
      </c>
      <c r="I35" s="9" t="s">
        <v>79</v>
      </c>
      <c r="J35" s="115" t="s">
        <v>140</v>
      </c>
    </row>
    <row r="36" spans="1:21" ht="15.75">
      <c r="A36" s="163"/>
      <c r="B36" s="164"/>
      <c r="C36" s="72"/>
      <c r="D36" s="9"/>
      <c r="E36" s="9"/>
      <c r="F36" s="9"/>
      <c r="G36" s="9"/>
      <c r="H36" s="9"/>
      <c r="I36" s="9"/>
      <c r="J36" s="9" t="s">
        <v>75</v>
      </c>
    </row>
    <row r="37" spans="1:21" ht="15.75">
      <c r="A37" s="163"/>
      <c r="B37" s="164"/>
      <c r="C37" s="76" t="s">
        <v>12</v>
      </c>
      <c r="D37" s="18" t="s">
        <v>7</v>
      </c>
      <c r="E37" s="80"/>
      <c r="F37" s="80"/>
      <c r="G37" s="81"/>
      <c r="H37" s="80"/>
      <c r="I37" s="80"/>
      <c r="J37" s="81"/>
    </row>
    <row r="38" spans="1:21" ht="15.75">
      <c r="A38" s="163"/>
      <c r="B38" s="164"/>
      <c r="C38" s="77" t="s">
        <v>15</v>
      </c>
      <c r="D38" s="80"/>
      <c r="E38" s="81"/>
      <c r="F38" s="81"/>
      <c r="G38" s="81"/>
      <c r="H38" s="81"/>
      <c r="I38" s="81"/>
      <c r="J38" s="81"/>
    </row>
    <row r="39" spans="1:21" ht="15.75">
      <c r="A39" s="163"/>
      <c r="B39" s="71"/>
      <c r="C39" s="78" t="s">
        <v>17</v>
      </c>
      <c r="D39" s="88" t="s">
        <v>64</v>
      </c>
      <c r="E39" s="88" t="s">
        <v>64</v>
      </c>
      <c r="F39" s="88" t="s">
        <v>64</v>
      </c>
      <c r="G39" s="88" t="s">
        <v>64</v>
      </c>
      <c r="H39" s="88" t="s">
        <v>64</v>
      </c>
      <c r="I39" s="88" t="s">
        <v>64</v>
      </c>
      <c r="J39" s="88" t="s">
        <v>64</v>
      </c>
    </row>
    <row r="40" spans="1:21" ht="20.25" customHeight="1">
      <c r="A40" s="82"/>
      <c r="B40" s="82"/>
      <c r="D40" s="11"/>
      <c r="E40" s="11"/>
      <c r="F40" s="11"/>
      <c r="G40" s="11"/>
      <c r="H40" s="11"/>
      <c r="I40" s="11"/>
      <c r="J40" s="11"/>
    </row>
    <row r="41" spans="1:21" ht="20.25" customHeight="1">
      <c r="A41" s="163" t="s">
        <v>21</v>
      </c>
      <c r="B41" s="164" t="s">
        <v>53</v>
      </c>
      <c r="C41" s="72" t="s">
        <v>3</v>
      </c>
      <c r="D41" s="116" t="s">
        <v>98</v>
      </c>
      <c r="E41" s="6" t="s">
        <v>99</v>
      </c>
      <c r="F41" s="6" t="s">
        <v>100</v>
      </c>
      <c r="G41" s="6" t="s">
        <v>101</v>
      </c>
      <c r="H41" s="6" t="s">
        <v>102</v>
      </c>
      <c r="I41" s="6" t="s">
        <v>103</v>
      </c>
      <c r="J41" s="6" t="s">
        <v>104</v>
      </c>
    </row>
    <row r="42" spans="1:21" ht="30.75" customHeight="1">
      <c r="A42" s="163"/>
      <c r="B42" s="164"/>
      <c r="C42" s="72" t="s">
        <v>5</v>
      </c>
      <c r="D42" s="9" t="s">
        <v>63</v>
      </c>
      <c r="E42" s="9" t="s">
        <v>63</v>
      </c>
      <c r="F42" s="9" t="s">
        <v>63</v>
      </c>
      <c r="G42" s="10" t="s">
        <v>63</v>
      </c>
      <c r="H42" s="9" t="s">
        <v>63</v>
      </c>
      <c r="I42" s="9" t="s">
        <v>63</v>
      </c>
      <c r="J42" s="9" t="s">
        <v>63</v>
      </c>
      <c r="O42" s="51"/>
      <c r="P42" s="51"/>
      <c r="Q42" s="51"/>
      <c r="R42" s="51"/>
      <c r="S42" s="51"/>
      <c r="T42" s="51"/>
      <c r="U42" s="51"/>
    </row>
    <row r="43" spans="1:21" ht="15.75">
      <c r="A43" s="163"/>
      <c r="B43" s="164"/>
      <c r="C43" s="72" t="s">
        <v>66</v>
      </c>
      <c r="D43" s="9"/>
      <c r="E43" s="9" t="s">
        <v>75</v>
      </c>
      <c r="F43" s="9"/>
      <c r="G43" s="9" t="s">
        <v>75</v>
      </c>
      <c r="H43" s="9"/>
      <c r="I43" s="9"/>
      <c r="J43" s="9"/>
      <c r="O43" s="51"/>
      <c r="P43" s="51"/>
      <c r="Q43" s="51"/>
      <c r="R43" s="51"/>
      <c r="S43" s="51"/>
      <c r="T43" s="51"/>
      <c r="U43" s="51"/>
    </row>
    <row r="44" spans="1:21" ht="15.75">
      <c r="A44" s="163"/>
      <c r="B44" s="164"/>
      <c r="C44" s="76" t="s">
        <v>12</v>
      </c>
      <c r="D44" s="81"/>
      <c r="E44" s="81"/>
      <c r="F44" s="81"/>
      <c r="G44" s="18" t="s">
        <v>63</v>
      </c>
      <c r="H44" s="81"/>
      <c r="I44" s="81"/>
      <c r="J44" s="81"/>
    </row>
    <row r="45" spans="1:21" ht="15.75">
      <c r="A45" s="163"/>
      <c r="B45" s="164"/>
      <c r="C45" s="77" t="s">
        <v>15</v>
      </c>
      <c r="D45" s="81"/>
      <c r="E45" s="81"/>
      <c r="F45" s="81"/>
      <c r="G45" s="81"/>
      <c r="H45" s="81"/>
      <c r="I45" s="81"/>
      <c r="J45" s="81"/>
    </row>
    <row r="46" spans="1:21" ht="15.75">
      <c r="A46" s="163"/>
      <c r="B46" s="164"/>
      <c r="C46" s="78" t="s">
        <v>17</v>
      </c>
      <c r="D46" s="81"/>
      <c r="E46" s="81"/>
      <c r="F46" s="81"/>
      <c r="G46" s="81"/>
      <c r="H46" s="81"/>
      <c r="I46" s="81"/>
      <c r="J46" s="81"/>
    </row>
    <row r="47" spans="1:21" ht="15.75">
      <c r="A47" s="163"/>
      <c r="B47" s="164"/>
      <c r="C47" s="72" t="s">
        <v>18</v>
      </c>
      <c r="D47" s="9" t="s">
        <v>139</v>
      </c>
      <c r="E47" s="9" t="s">
        <v>64</v>
      </c>
      <c r="F47" s="9" t="s">
        <v>64</v>
      </c>
      <c r="G47" s="9" t="s">
        <v>64</v>
      </c>
      <c r="H47" s="9" t="s">
        <v>64</v>
      </c>
      <c r="I47" s="9" t="s">
        <v>64</v>
      </c>
      <c r="J47" s="58" t="s">
        <v>64</v>
      </c>
    </row>
    <row r="48" spans="1:21" ht="15.75">
      <c r="A48" s="163"/>
      <c r="B48" s="164"/>
      <c r="C48" s="72"/>
      <c r="D48" s="9"/>
      <c r="E48" s="9"/>
      <c r="F48" s="9"/>
      <c r="G48" s="9"/>
      <c r="H48" s="9"/>
      <c r="I48" s="9"/>
      <c r="J48" s="9" t="s">
        <v>119</v>
      </c>
    </row>
    <row r="49" spans="1:19" ht="15.75">
      <c r="A49" s="163"/>
      <c r="B49" s="164"/>
      <c r="C49" s="76" t="s">
        <v>12</v>
      </c>
      <c r="D49" s="80"/>
      <c r="E49" s="80"/>
      <c r="F49" s="80"/>
      <c r="G49" s="81"/>
      <c r="H49" s="80"/>
      <c r="I49" s="80"/>
      <c r="J49" s="18" t="s">
        <v>64</v>
      </c>
      <c r="L49" s="84"/>
      <c r="M49" s="84"/>
      <c r="N49" s="84"/>
      <c r="O49" s="85"/>
      <c r="P49" s="85"/>
      <c r="Q49" s="85"/>
      <c r="R49" s="85"/>
      <c r="S49" s="85"/>
    </row>
    <row r="50" spans="1:19" ht="15.75">
      <c r="A50" s="163"/>
      <c r="B50" s="164"/>
      <c r="C50" s="86" t="s">
        <v>15</v>
      </c>
      <c r="D50" s="80"/>
      <c r="E50" s="81"/>
      <c r="F50" s="81"/>
      <c r="G50" s="81"/>
      <c r="H50" s="81"/>
      <c r="I50" s="81"/>
      <c r="J50" s="81"/>
      <c r="L50" s="84"/>
      <c r="M50" s="84"/>
      <c r="N50" s="84"/>
      <c r="O50" s="85"/>
      <c r="P50" s="85"/>
      <c r="Q50" s="85"/>
      <c r="R50" s="85"/>
      <c r="S50" s="85"/>
    </row>
    <row r="51" spans="1:19" ht="15.75">
      <c r="A51" s="163"/>
      <c r="B51" s="82"/>
      <c r="C51" s="78" t="s">
        <v>17</v>
      </c>
      <c r="D51" s="80"/>
      <c r="E51" s="81"/>
      <c r="F51" s="81"/>
      <c r="G51" s="81"/>
      <c r="H51" s="81"/>
      <c r="I51" s="81"/>
      <c r="J51" s="81"/>
      <c r="L51" s="84"/>
      <c r="M51" s="84"/>
      <c r="N51" s="84"/>
      <c r="O51" s="87"/>
      <c r="P51" s="87"/>
      <c r="Q51" s="85"/>
      <c r="R51" s="87"/>
      <c r="S51" s="85"/>
    </row>
    <row r="52" spans="1:19" ht="15.75">
      <c r="A52" s="82"/>
      <c r="B52" s="82"/>
      <c r="D52" s="11"/>
      <c r="E52" s="11"/>
      <c r="F52" s="11"/>
      <c r="G52" s="11"/>
      <c r="H52" s="11"/>
      <c r="I52" s="11"/>
      <c r="J52" s="11"/>
      <c r="L52" s="84"/>
      <c r="M52" s="84"/>
      <c r="N52" s="84"/>
      <c r="O52" s="85"/>
      <c r="P52" s="85"/>
      <c r="Q52" s="85"/>
      <c r="R52" s="85"/>
      <c r="S52" s="85"/>
    </row>
    <row r="53" spans="1:19" ht="15.75">
      <c r="A53" s="163" t="s">
        <v>22</v>
      </c>
      <c r="B53" s="164" t="s">
        <v>53</v>
      </c>
      <c r="C53" s="72" t="s">
        <v>3</v>
      </c>
      <c r="D53" s="6" t="s">
        <v>105</v>
      </c>
      <c r="E53" s="6" t="s">
        <v>106</v>
      </c>
      <c r="F53" s="6" t="s">
        <v>107</v>
      </c>
      <c r="G53" s="6" t="s">
        <v>108</v>
      </c>
      <c r="H53" s="6" t="s">
        <v>109</v>
      </c>
      <c r="I53" s="6" t="s">
        <v>110</v>
      </c>
      <c r="J53" s="6" t="s">
        <v>111</v>
      </c>
      <c r="L53" s="87"/>
      <c r="M53" s="87"/>
      <c r="N53" s="87"/>
      <c r="O53" s="87"/>
      <c r="P53" s="87"/>
      <c r="Q53" s="85"/>
      <c r="R53" s="87"/>
      <c r="S53" s="85"/>
    </row>
    <row r="54" spans="1:19" ht="15.75">
      <c r="A54" s="163"/>
      <c r="B54" s="164"/>
      <c r="C54" s="72" t="s">
        <v>5</v>
      </c>
      <c r="D54" s="9" t="s">
        <v>63</v>
      </c>
      <c r="E54" s="9" t="s">
        <v>63</v>
      </c>
      <c r="F54" s="9" t="s">
        <v>63</v>
      </c>
      <c r="G54" s="10" t="s">
        <v>63</v>
      </c>
      <c r="H54" s="9" t="s">
        <v>63</v>
      </c>
      <c r="I54" s="9" t="s">
        <v>63</v>
      </c>
      <c r="J54" s="9" t="s">
        <v>63</v>
      </c>
      <c r="L54" s="87"/>
      <c r="M54" s="87"/>
      <c r="N54" s="87"/>
      <c r="O54" s="87"/>
      <c r="P54" s="87"/>
      <c r="Q54" s="85"/>
      <c r="R54" s="87"/>
      <c r="S54" s="85"/>
    </row>
    <row r="55" spans="1:19" ht="15.75">
      <c r="A55" s="163"/>
      <c r="B55" s="164"/>
      <c r="C55" s="72" t="s">
        <v>66</v>
      </c>
      <c r="D55" s="9"/>
      <c r="E55" s="9" t="s">
        <v>75</v>
      </c>
      <c r="F55" s="9"/>
      <c r="G55" s="9" t="s">
        <v>75</v>
      </c>
      <c r="H55" s="9"/>
      <c r="I55" s="9"/>
      <c r="J55" s="9"/>
      <c r="L55" s="87"/>
      <c r="M55" s="87"/>
      <c r="N55" s="87"/>
      <c r="O55" s="87"/>
      <c r="P55" s="87"/>
      <c r="Q55" s="85"/>
      <c r="R55" s="87"/>
      <c r="S55" s="85"/>
    </row>
    <row r="56" spans="1:19" ht="15.75">
      <c r="A56" s="163"/>
      <c r="B56" s="164"/>
      <c r="C56" s="76" t="s">
        <v>12</v>
      </c>
      <c r="D56" s="81"/>
      <c r="E56" s="81"/>
      <c r="F56" s="81"/>
      <c r="G56" s="18" t="s">
        <v>63</v>
      </c>
      <c r="H56" s="81"/>
      <c r="I56" s="81"/>
      <c r="J56" s="81"/>
      <c r="L56" s="87"/>
      <c r="M56" s="84"/>
      <c r="N56" s="84"/>
      <c r="O56" s="85"/>
      <c r="P56" s="85"/>
      <c r="Q56" s="85"/>
      <c r="R56" s="85"/>
      <c r="S56" s="85"/>
    </row>
    <row r="57" spans="1:19" ht="15.75">
      <c r="A57" s="163"/>
      <c r="B57" s="164"/>
      <c r="C57" s="77" t="s">
        <v>15</v>
      </c>
      <c r="D57" s="81"/>
      <c r="E57" s="81"/>
      <c r="F57" s="81"/>
      <c r="G57" s="81"/>
      <c r="H57" s="81"/>
      <c r="I57" s="81"/>
      <c r="J57" s="81"/>
    </row>
    <row r="58" spans="1:19" ht="15.75">
      <c r="A58" s="163"/>
      <c r="B58" s="164"/>
      <c r="C58" s="78" t="s">
        <v>17</v>
      </c>
      <c r="D58" s="81"/>
      <c r="E58" s="81"/>
      <c r="F58" s="81"/>
      <c r="G58" s="81"/>
      <c r="H58" s="81"/>
      <c r="I58" s="81"/>
      <c r="J58" s="81"/>
    </row>
    <row r="59" spans="1:19" ht="15.75">
      <c r="A59" s="163"/>
      <c r="B59" s="164"/>
      <c r="C59" s="72" t="s">
        <v>18</v>
      </c>
      <c r="D59" s="9" t="s">
        <v>139</v>
      </c>
      <c r="E59" s="9" t="s">
        <v>64</v>
      </c>
      <c r="F59" s="9" t="s">
        <v>64</v>
      </c>
      <c r="G59" s="9" t="s">
        <v>64</v>
      </c>
      <c r="H59" s="9" t="s">
        <v>64</v>
      </c>
      <c r="I59" s="9" t="s">
        <v>64</v>
      </c>
      <c r="J59" s="58" t="s">
        <v>64</v>
      </c>
    </row>
    <row r="60" spans="1:19" ht="15.75">
      <c r="A60" s="163"/>
      <c r="B60" s="164"/>
      <c r="C60" s="72"/>
      <c r="D60" s="9"/>
      <c r="E60" s="9"/>
      <c r="F60" s="9"/>
      <c r="G60" s="9"/>
      <c r="H60" s="9"/>
      <c r="I60" s="9"/>
      <c r="J60" s="9" t="s">
        <v>119</v>
      </c>
    </row>
    <row r="61" spans="1:19" ht="15.75">
      <c r="A61" s="163"/>
      <c r="B61" s="164"/>
      <c r="C61" s="76" t="s">
        <v>12</v>
      </c>
      <c r="D61" s="80"/>
      <c r="E61" s="80"/>
      <c r="F61" s="80"/>
      <c r="G61" s="81"/>
      <c r="H61" s="80"/>
      <c r="I61" s="80"/>
      <c r="J61" s="18" t="s">
        <v>64</v>
      </c>
    </row>
    <row r="62" spans="1:19" ht="15.75">
      <c r="A62" s="163"/>
      <c r="B62" s="164"/>
      <c r="C62" s="86" t="s">
        <v>15</v>
      </c>
      <c r="D62" s="80"/>
      <c r="E62" s="81"/>
      <c r="F62" s="81"/>
      <c r="G62" s="81"/>
      <c r="H62" s="81"/>
      <c r="I62" s="81"/>
      <c r="J62" s="81"/>
    </row>
    <row r="63" spans="1:19" ht="15.75">
      <c r="A63" s="163"/>
      <c r="B63" s="82"/>
      <c r="C63" s="78" t="s">
        <v>17</v>
      </c>
      <c r="D63" s="81"/>
      <c r="E63" s="81"/>
      <c r="F63" s="81"/>
      <c r="G63" s="81"/>
      <c r="H63" s="81"/>
      <c r="I63" s="81"/>
      <c r="J63" s="81"/>
    </row>
    <row r="64" spans="1:19" ht="15.75">
      <c r="A64" s="82"/>
      <c r="B64" s="82"/>
      <c r="D64" s="54"/>
      <c r="E64" s="54"/>
      <c r="F64" s="54"/>
      <c r="G64" s="54"/>
      <c r="H64" s="54"/>
      <c r="I64" s="54"/>
      <c r="J64" s="54"/>
      <c r="N64" s="50"/>
    </row>
  </sheetData>
  <mergeCells count="12">
    <mergeCell ref="C2:J2"/>
    <mergeCell ref="C3:J3"/>
    <mergeCell ref="A7:A16"/>
    <mergeCell ref="B7:B15"/>
    <mergeCell ref="A53:A63"/>
    <mergeCell ref="B53:B62"/>
    <mergeCell ref="A18:A27"/>
    <mergeCell ref="B18:B26"/>
    <mergeCell ref="A29:A39"/>
    <mergeCell ref="B29:B38"/>
    <mergeCell ref="A41:A51"/>
    <mergeCell ref="B41:B50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60D7-F763-284D-AE5E-402E6E2BE059}">
  <dimension ref="A2:R150"/>
  <sheetViews>
    <sheetView showGridLines="0" topLeftCell="A113" workbookViewId="0">
      <selection activeCell="G108" sqref="G108"/>
    </sheetView>
  </sheetViews>
  <sheetFormatPr baseColWidth="10" defaultColWidth="9.125" defaultRowHeight="15.75"/>
  <cols>
    <col min="2" max="2" width="11.5" customWidth="1"/>
    <col min="3" max="3" width="13.875" customWidth="1"/>
    <col min="4" max="4" width="16.375" customWidth="1"/>
    <col min="5" max="5" width="13.875" customWidth="1"/>
    <col min="6" max="6" width="16.125" customWidth="1"/>
    <col min="7" max="7" width="15.5" customWidth="1"/>
    <col min="8" max="8" width="13.875" customWidth="1"/>
    <col min="9" max="9" width="15.5" bestFit="1" customWidth="1"/>
    <col min="10" max="10" width="14" customWidth="1"/>
    <col min="11" max="11" width="16.875" customWidth="1"/>
    <col min="12" max="13" width="12.5" bestFit="1" customWidth="1"/>
    <col min="14" max="15" width="17.375" customWidth="1"/>
    <col min="16" max="16" width="7.5" bestFit="1" customWidth="1"/>
    <col min="17" max="17" width="7" bestFit="1" customWidth="1"/>
    <col min="18" max="18" width="7.375" bestFit="1" customWidth="1"/>
    <col min="19" max="19" width="8.125" bestFit="1" customWidth="1"/>
    <col min="21" max="24" width="6.5" customWidth="1"/>
  </cols>
  <sheetData>
    <row r="2" spans="1:17" ht="21" customHeight="1">
      <c r="B2" s="141" t="s">
        <v>0</v>
      </c>
      <c r="C2" s="141"/>
      <c r="D2" s="141"/>
      <c r="E2" s="141"/>
      <c r="F2" s="141"/>
      <c r="G2" s="141"/>
      <c r="H2" s="141"/>
      <c r="I2" s="141"/>
      <c r="K2" s="1"/>
    </row>
    <row r="3" spans="1:17" ht="18.75" customHeight="1">
      <c r="B3" s="142" t="s">
        <v>126</v>
      </c>
      <c r="C3" s="142"/>
      <c r="D3" s="142"/>
      <c r="E3" s="142"/>
      <c r="F3" s="142"/>
      <c r="G3" s="142"/>
      <c r="H3" s="142"/>
      <c r="I3" s="142"/>
      <c r="K3" s="1"/>
    </row>
    <row r="5" spans="1:17" ht="18.75">
      <c r="B5" s="3" t="s">
        <v>112</v>
      </c>
    </row>
    <row r="6" spans="1:17">
      <c r="L6" s="4"/>
      <c r="M6" s="4"/>
      <c r="N6" s="4"/>
      <c r="O6" s="4"/>
      <c r="P6" s="4"/>
    </row>
    <row r="7" spans="1:17" hidden="1">
      <c r="A7" s="127" t="s">
        <v>2</v>
      </c>
      <c r="B7" s="6" t="s">
        <v>3</v>
      </c>
      <c r="C7" s="6"/>
      <c r="D7" s="6"/>
      <c r="E7" s="6" t="s">
        <v>23</v>
      </c>
      <c r="F7" s="43" t="s">
        <v>24</v>
      </c>
      <c r="G7" s="43" t="s">
        <v>25</v>
      </c>
      <c r="H7" s="43" t="s">
        <v>44</v>
      </c>
      <c r="I7" s="6" t="s">
        <v>26</v>
      </c>
      <c r="L7" t="s">
        <v>39</v>
      </c>
    </row>
    <row r="8" spans="1:17" hidden="1">
      <c r="A8" s="127"/>
      <c r="B8" s="147" t="s">
        <v>5</v>
      </c>
      <c r="C8" s="9"/>
      <c r="D8" s="10"/>
      <c r="E8" s="10" t="s">
        <v>115</v>
      </c>
      <c r="F8" s="10" t="s">
        <v>113</v>
      </c>
      <c r="G8" s="9" t="s">
        <v>113</v>
      </c>
      <c r="H8" s="9" t="s">
        <v>113</v>
      </c>
      <c r="I8" s="9" t="s">
        <v>113</v>
      </c>
      <c r="L8" s="5" t="s">
        <v>40</v>
      </c>
      <c r="M8" s="5" t="s">
        <v>41</v>
      </c>
      <c r="N8" s="4" t="s">
        <v>42</v>
      </c>
      <c r="O8" t="s">
        <v>43</v>
      </c>
      <c r="P8" s="42">
        <v>46143</v>
      </c>
    </row>
    <row r="9" spans="1:17" hidden="1">
      <c r="A9" s="127"/>
      <c r="B9" s="148"/>
      <c r="C9" s="9"/>
      <c r="D9" s="9"/>
      <c r="E9" s="9" t="s">
        <v>120</v>
      </c>
      <c r="F9" s="9" t="s">
        <v>120</v>
      </c>
      <c r="G9" s="89" t="s">
        <v>120</v>
      </c>
      <c r="H9" s="89" t="s">
        <v>120</v>
      </c>
      <c r="I9" s="9" t="s">
        <v>120</v>
      </c>
      <c r="K9" s="7" t="s">
        <v>116</v>
      </c>
      <c r="L9" s="24">
        <v>46088</v>
      </c>
      <c r="M9" s="24">
        <v>46115</v>
      </c>
      <c r="N9" s="44">
        <v>46130</v>
      </c>
      <c r="O9" s="4"/>
      <c r="Q9">
        <v>2</v>
      </c>
    </row>
    <row r="10" spans="1:17" hidden="1">
      <c r="A10" s="127"/>
      <c r="B10" s="148"/>
      <c r="C10" s="9"/>
      <c r="D10" s="9"/>
      <c r="E10" s="10" t="s">
        <v>114</v>
      </c>
      <c r="F10" s="10" t="s">
        <v>114</v>
      </c>
      <c r="G10" s="90" t="s">
        <v>114</v>
      </c>
      <c r="H10" s="90" t="s">
        <v>114</v>
      </c>
      <c r="I10" s="10" t="s">
        <v>114</v>
      </c>
      <c r="K10" s="11" t="s">
        <v>118</v>
      </c>
      <c r="L10" s="12">
        <v>46102</v>
      </c>
      <c r="M10" s="12">
        <v>46115</v>
      </c>
      <c r="N10" s="44">
        <v>46144</v>
      </c>
      <c r="O10" s="11"/>
      <c r="Q10">
        <v>2</v>
      </c>
    </row>
    <row r="11" spans="1:17" hidden="1">
      <c r="A11" s="127"/>
      <c r="B11" s="148"/>
      <c r="C11" s="9"/>
      <c r="D11" s="9"/>
      <c r="E11" s="9" t="s">
        <v>119</v>
      </c>
      <c r="F11" s="9" t="s">
        <v>115</v>
      </c>
      <c r="G11" s="90"/>
      <c r="H11" s="90"/>
      <c r="I11" s="10"/>
      <c r="L11" s="12"/>
      <c r="M11" s="12"/>
      <c r="N11" s="44"/>
      <c r="O11" s="4"/>
    </row>
    <row r="12" spans="1:17" hidden="1">
      <c r="A12" s="127"/>
      <c r="B12" s="148"/>
      <c r="C12" s="9"/>
      <c r="D12" s="9"/>
      <c r="E12" s="9" t="s">
        <v>117</v>
      </c>
      <c r="F12" s="9" t="s">
        <v>117</v>
      </c>
      <c r="G12" s="90" t="s">
        <v>117</v>
      </c>
      <c r="H12" s="9"/>
      <c r="I12" s="9"/>
      <c r="K12" s="7" t="s">
        <v>120</v>
      </c>
      <c r="L12" s="13">
        <v>46109</v>
      </c>
      <c r="M12" s="13">
        <v>46116</v>
      </c>
      <c r="N12" s="44">
        <v>46143</v>
      </c>
      <c r="O12" s="4"/>
      <c r="Q12">
        <v>2</v>
      </c>
    </row>
    <row r="13" spans="1:17" hidden="1">
      <c r="A13" s="127"/>
      <c r="B13" s="149"/>
      <c r="C13" s="9"/>
      <c r="D13" s="9"/>
      <c r="E13" s="9"/>
      <c r="F13" s="9"/>
      <c r="G13" s="9"/>
      <c r="H13" s="9"/>
      <c r="I13" s="9"/>
      <c r="K13" s="11" t="s">
        <v>115</v>
      </c>
      <c r="L13" s="14">
        <v>46108</v>
      </c>
      <c r="M13" s="14">
        <v>46123</v>
      </c>
      <c r="N13" s="4"/>
      <c r="O13" s="4"/>
      <c r="Q13">
        <v>3</v>
      </c>
    </row>
    <row r="14" spans="1:17" hidden="1">
      <c r="A14" s="127"/>
      <c r="B14" s="158" t="s">
        <v>12</v>
      </c>
      <c r="C14" s="19"/>
      <c r="D14" s="18"/>
      <c r="E14" s="18" t="s">
        <v>115</v>
      </c>
      <c r="F14" s="18" t="s">
        <v>113</v>
      </c>
      <c r="G14" s="19"/>
      <c r="H14" s="19"/>
      <c r="I14" s="18" t="s">
        <v>114</v>
      </c>
      <c r="K14" s="7" t="s">
        <v>113</v>
      </c>
      <c r="L14" s="13">
        <v>46095</v>
      </c>
      <c r="M14" s="13">
        <v>46116</v>
      </c>
      <c r="N14" s="44">
        <v>46136</v>
      </c>
      <c r="O14" s="4"/>
      <c r="Q14">
        <v>2</v>
      </c>
    </row>
    <row r="15" spans="1:17" hidden="1">
      <c r="A15" s="127"/>
      <c r="B15" s="159"/>
      <c r="C15" s="19"/>
      <c r="D15" s="28"/>
      <c r="E15" s="23"/>
      <c r="F15" s="23"/>
      <c r="G15" s="23"/>
      <c r="H15" s="19"/>
      <c r="I15" s="19"/>
      <c r="K15" s="11" t="s">
        <v>114</v>
      </c>
      <c r="L15" s="14">
        <v>46094</v>
      </c>
      <c r="M15" s="14">
        <v>46122</v>
      </c>
      <c r="N15" s="4"/>
      <c r="O15" s="4"/>
      <c r="Q15">
        <v>3</v>
      </c>
    </row>
    <row r="16" spans="1:17" hidden="1">
      <c r="A16" s="127"/>
      <c r="B16" s="32" t="s">
        <v>15</v>
      </c>
      <c r="C16" s="19"/>
      <c r="D16" s="19"/>
      <c r="E16" s="23"/>
      <c r="F16" s="23"/>
      <c r="G16" s="22" t="s">
        <v>117</v>
      </c>
      <c r="H16" s="23"/>
      <c r="I16" s="19"/>
      <c r="K16" s="7" t="s">
        <v>117</v>
      </c>
      <c r="L16" s="13">
        <v>46101</v>
      </c>
      <c r="M16" s="13">
        <v>46129</v>
      </c>
      <c r="N16" s="44">
        <v>46137</v>
      </c>
      <c r="O16" s="4"/>
      <c r="Q16">
        <v>2</v>
      </c>
    </row>
    <row r="17" spans="1:17" hidden="1">
      <c r="A17" s="127"/>
      <c r="B17" s="25" t="s">
        <v>17</v>
      </c>
      <c r="C17" s="19"/>
      <c r="D17" s="19"/>
      <c r="E17" s="23"/>
      <c r="F17" s="23"/>
      <c r="G17" s="23"/>
      <c r="H17" s="23"/>
      <c r="I17" s="19"/>
      <c r="L17" s="12"/>
      <c r="M17" s="12"/>
      <c r="N17" s="4"/>
      <c r="O17" s="4"/>
    </row>
    <row r="18" spans="1:17" hidden="1">
      <c r="A18" s="127"/>
      <c r="B18" s="147" t="s">
        <v>18</v>
      </c>
      <c r="C18" s="9"/>
      <c r="D18" s="9"/>
      <c r="E18" s="9" t="s">
        <v>113</v>
      </c>
      <c r="F18" s="9" t="s">
        <v>115</v>
      </c>
      <c r="G18" s="9" t="s">
        <v>115</v>
      </c>
      <c r="H18" s="9" t="s">
        <v>117</v>
      </c>
      <c r="I18" s="10" t="s">
        <v>117</v>
      </c>
      <c r="K18" s="7"/>
      <c r="L18" s="24"/>
      <c r="M18" s="24"/>
      <c r="N18" s="4"/>
      <c r="O18" s="4"/>
    </row>
    <row r="19" spans="1:17" hidden="1">
      <c r="A19" s="127"/>
      <c r="B19" s="148"/>
      <c r="C19" s="9"/>
      <c r="D19" s="9"/>
      <c r="E19" s="9" t="s">
        <v>116</v>
      </c>
      <c r="F19" s="9" t="s">
        <v>116</v>
      </c>
      <c r="G19" s="10" t="s">
        <v>116</v>
      </c>
      <c r="H19" s="10" t="s">
        <v>115</v>
      </c>
      <c r="I19" s="9" t="s">
        <v>115</v>
      </c>
      <c r="L19" s="4"/>
      <c r="M19" s="4"/>
      <c r="N19" s="4"/>
      <c r="O19" s="4"/>
    </row>
    <row r="20" spans="1:17" hidden="1">
      <c r="A20" s="127"/>
      <c r="B20" s="148"/>
      <c r="C20" s="9"/>
      <c r="D20" s="9"/>
      <c r="E20" s="9" t="s">
        <v>118</v>
      </c>
      <c r="F20" s="9" t="s">
        <v>118</v>
      </c>
      <c r="G20" s="9" t="s">
        <v>118</v>
      </c>
      <c r="H20" s="9" t="s">
        <v>116</v>
      </c>
      <c r="I20" s="10" t="s">
        <v>116</v>
      </c>
      <c r="L20" s="11"/>
    </row>
    <row r="21" spans="1:17" hidden="1">
      <c r="A21" s="127"/>
      <c r="B21" s="148"/>
      <c r="C21" s="10"/>
      <c r="D21" s="9"/>
      <c r="E21" s="9"/>
      <c r="F21" s="9"/>
      <c r="G21" s="9"/>
      <c r="H21" s="10" t="s">
        <v>118</v>
      </c>
      <c r="I21" s="9" t="s">
        <v>118</v>
      </c>
      <c r="L21" s="11"/>
    </row>
    <row r="22" spans="1:17" hidden="1">
      <c r="A22" s="127"/>
      <c r="B22" s="149"/>
      <c r="C22" s="9"/>
      <c r="D22" s="9"/>
      <c r="E22" s="9"/>
      <c r="F22" s="9"/>
      <c r="G22" s="9"/>
      <c r="H22" s="9"/>
      <c r="I22" s="9"/>
      <c r="L22" s="11"/>
    </row>
    <row r="23" spans="1:17" hidden="1">
      <c r="A23" s="127"/>
      <c r="B23" s="150" t="s">
        <v>12</v>
      </c>
      <c r="C23" s="18"/>
      <c r="D23" s="27"/>
      <c r="E23" s="27"/>
      <c r="F23" s="27"/>
      <c r="G23" s="19"/>
      <c r="H23" s="19"/>
      <c r="I23" s="18" t="s">
        <v>117</v>
      </c>
    </row>
    <row r="24" spans="1:17" hidden="1">
      <c r="A24" s="127"/>
      <c r="B24" s="152"/>
      <c r="C24" s="27"/>
      <c r="D24" s="27"/>
      <c r="E24" s="27"/>
      <c r="F24" s="27"/>
      <c r="G24" s="27"/>
      <c r="H24" s="29"/>
      <c r="I24" s="18" t="s">
        <v>116</v>
      </c>
    </row>
    <row r="25" spans="1:17" hidden="1">
      <c r="A25" s="127"/>
      <c r="B25" s="22" t="s">
        <v>15</v>
      </c>
      <c r="C25" s="19"/>
      <c r="D25" s="30"/>
      <c r="E25" s="27"/>
      <c r="F25" s="27"/>
      <c r="G25" s="22" t="s">
        <v>116</v>
      </c>
      <c r="H25" s="22" t="s">
        <v>115</v>
      </c>
      <c r="I25" s="19"/>
    </row>
    <row r="26" spans="1:17" hidden="1">
      <c r="A26" s="127"/>
      <c r="B26" s="22"/>
      <c r="C26" s="19"/>
      <c r="D26" s="30"/>
      <c r="E26" s="27"/>
      <c r="F26" s="27"/>
      <c r="G26" s="27"/>
      <c r="H26" s="67" t="s">
        <v>118</v>
      </c>
      <c r="I26" s="19"/>
    </row>
    <row r="27" spans="1:17" hidden="1">
      <c r="A27" s="127"/>
      <c r="B27" s="25" t="s">
        <v>17</v>
      </c>
      <c r="C27" s="19"/>
      <c r="D27" s="30"/>
      <c r="E27" s="27"/>
      <c r="F27" s="27"/>
      <c r="G27" s="27"/>
      <c r="H27" s="29"/>
      <c r="I27" s="19"/>
    </row>
    <row r="28" spans="1:17">
      <c r="B28" s="4"/>
      <c r="C28" s="15">
        <f t="shared" ref="C28:I28" si="0">COUNTA(C8:C13,C18:C22)</f>
        <v>0</v>
      </c>
      <c r="D28" s="15">
        <f t="shared" si="0"/>
        <v>0</v>
      </c>
      <c r="E28" s="15">
        <f t="shared" si="0"/>
        <v>8</v>
      </c>
      <c r="F28" s="15">
        <f t="shared" si="0"/>
        <v>8</v>
      </c>
      <c r="G28" s="15">
        <f t="shared" si="0"/>
        <v>7</v>
      </c>
      <c r="H28" s="15">
        <f t="shared" si="0"/>
        <v>7</v>
      </c>
      <c r="I28" s="15">
        <f t="shared" si="0"/>
        <v>7</v>
      </c>
    </row>
    <row r="29" spans="1:17">
      <c r="A29" s="127" t="s">
        <v>2</v>
      </c>
      <c r="B29" s="6" t="s">
        <v>3</v>
      </c>
      <c r="C29" s="6" t="s">
        <v>49</v>
      </c>
      <c r="D29" s="6" t="s">
        <v>48</v>
      </c>
      <c r="E29" s="6" t="s">
        <v>47</v>
      </c>
      <c r="F29" s="6" t="s">
        <v>50</v>
      </c>
      <c r="G29" s="6" t="s">
        <v>51</v>
      </c>
      <c r="H29" s="6" t="s">
        <v>82</v>
      </c>
      <c r="I29" s="6" t="s">
        <v>83</v>
      </c>
      <c r="M29" t="s">
        <v>39</v>
      </c>
    </row>
    <row r="30" spans="1:17">
      <c r="A30" s="127"/>
      <c r="B30" s="147" t="s">
        <v>5</v>
      </c>
      <c r="C30" s="56" t="s">
        <v>115</v>
      </c>
      <c r="D30" s="9" t="s">
        <v>116</v>
      </c>
      <c r="E30" s="10" t="s">
        <v>118</v>
      </c>
      <c r="F30" s="10" t="s">
        <v>120</v>
      </c>
      <c r="G30" s="9" t="s">
        <v>120</v>
      </c>
      <c r="H30" s="9" t="s">
        <v>120</v>
      </c>
      <c r="I30" s="9" t="s">
        <v>120</v>
      </c>
      <c r="M30" s="5" t="s">
        <v>40</v>
      </c>
      <c r="N30" s="5" t="s">
        <v>41</v>
      </c>
      <c r="O30" s="4" t="s">
        <v>42</v>
      </c>
      <c r="P30" t="s">
        <v>43</v>
      </c>
      <c r="Q30" s="42">
        <v>46143</v>
      </c>
    </row>
    <row r="31" spans="1:17">
      <c r="A31" s="127"/>
      <c r="B31" s="148"/>
      <c r="C31" s="9" t="s">
        <v>120</v>
      </c>
      <c r="D31" s="9" t="s">
        <v>115</v>
      </c>
      <c r="E31" s="9" t="s">
        <v>116</v>
      </c>
      <c r="F31" s="9" t="s">
        <v>116</v>
      </c>
      <c r="G31" s="89" t="s">
        <v>116</v>
      </c>
      <c r="H31" s="89" t="s">
        <v>116</v>
      </c>
      <c r="I31" s="9" t="s">
        <v>116</v>
      </c>
      <c r="L31" s="7" t="s">
        <v>116</v>
      </c>
      <c r="M31" s="24">
        <v>46088</v>
      </c>
      <c r="N31" s="24">
        <v>46115</v>
      </c>
      <c r="O31" s="44">
        <v>46130</v>
      </c>
      <c r="P31" s="44">
        <v>46151</v>
      </c>
    </row>
    <row r="32" spans="1:17">
      <c r="A32" s="127"/>
      <c r="B32" s="148"/>
      <c r="C32" s="9" t="s">
        <v>113</v>
      </c>
      <c r="D32" s="9" t="s">
        <v>120</v>
      </c>
      <c r="E32" s="9" t="s">
        <v>115</v>
      </c>
      <c r="F32" s="9" t="s">
        <v>115</v>
      </c>
      <c r="G32" s="89" t="s">
        <v>115</v>
      </c>
      <c r="H32" s="89" t="s">
        <v>115</v>
      </c>
      <c r="I32" s="10" t="s">
        <v>115</v>
      </c>
      <c r="L32" s="11" t="s">
        <v>118</v>
      </c>
      <c r="M32" s="12">
        <v>46102</v>
      </c>
      <c r="N32" s="12">
        <v>46115</v>
      </c>
      <c r="O32" s="44">
        <v>46144</v>
      </c>
      <c r="P32" s="44">
        <v>46171</v>
      </c>
      <c r="Q32" s="42"/>
    </row>
    <row r="33" spans="1:18">
      <c r="A33" s="127"/>
      <c r="B33" s="148"/>
      <c r="C33" s="9" t="s">
        <v>117</v>
      </c>
      <c r="D33" s="9"/>
      <c r="E33" s="9"/>
      <c r="F33" s="9"/>
      <c r="G33" s="90"/>
      <c r="H33" s="89"/>
      <c r="I33" s="10"/>
      <c r="L33" s="11"/>
      <c r="M33" s="12"/>
      <c r="N33" s="12"/>
      <c r="O33" s="44"/>
      <c r="P33" s="4"/>
    </row>
    <row r="34" spans="1:18">
      <c r="A34" s="127"/>
      <c r="B34" s="148"/>
      <c r="C34" s="9"/>
      <c r="D34" s="9" t="s">
        <v>113</v>
      </c>
      <c r="E34" s="9" t="s">
        <v>113</v>
      </c>
      <c r="F34" s="9" t="s">
        <v>113</v>
      </c>
      <c r="G34" s="89" t="s">
        <v>113</v>
      </c>
      <c r="H34" s="9"/>
      <c r="I34" s="9"/>
      <c r="L34" s="7" t="s">
        <v>120</v>
      </c>
      <c r="M34" s="13">
        <v>46109</v>
      </c>
      <c r="N34" s="13">
        <v>46116</v>
      </c>
      <c r="O34" s="44">
        <v>46143</v>
      </c>
      <c r="P34" s="44">
        <v>46165</v>
      </c>
    </row>
    <row r="35" spans="1:18">
      <c r="A35" s="127"/>
      <c r="B35" s="149"/>
      <c r="C35" s="9"/>
      <c r="D35" s="9"/>
      <c r="E35" s="9"/>
      <c r="F35" s="9"/>
      <c r="G35" s="9"/>
      <c r="H35" s="9"/>
      <c r="I35" s="9"/>
      <c r="L35" s="11" t="s">
        <v>115</v>
      </c>
      <c r="M35" s="14">
        <v>46108</v>
      </c>
      <c r="N35" s="14">
        <v>46123</v>
      </c>
      <c r="O35" s="44">
        <v>46150</v>
      </c>
      <c r="P35" s="44"/>
    </row>
    <row r="36" spans="1:18">
      <c r="A36" s="127"/>
      <c r="B36" s="158" t="s">
        <v>12</v>
      </c>
      <c r="C36" s="19"/>
      <c r="D36" s="18" t="s">
        <v>116</v>
      </c>
      <c r="E36" s="18" t="s">
        <v>118</v>
      </c>
      <c r="F36" s="18" t="s">
        <v>120</v>
      </c>
      <c r="G36" s="19"/>
      <c r="H36" s="19"/>
      <c r="I36" s="18" t="s">
        <v>115</v>
      </c>
      <c r="L36" s="7" t="s">
        <v>113</v>
      </c>
      <c r="M36" s="13">
        <v>46095</v>
      </c>
      <c r="N36" s="13">
        <v>46116</v>
      </c>
      <c r="O36" s="44">
        <v>46136</v>
      </c>
      <c r="P36" s="44">
        <v>46157</v>
      </c>
      <c r="Q36" s="42">
        <v>46164</v>
      </c>
    </row>
    <row r="37" spans="1:18">
      <c r="A37" s="127"/>
      <c r="B37" s="159"/>
      <c r="C37" s="19"/>
      <c r="D37" s="19"/>
      <c r="E37" s="28"/>
      <c r="F37" s="19"/>
      <c r="G37" s="23"/>
      <c r="H37" s="19"/>
      <c r="I37" s="19"/>
      <c r="L37" s="11" t="s">
        <v>114</v>
      </c>
      <c r="M37" s="14">
        <v>46094</v>
      </c>
      <c r="N37" s="14">
        <v>46122</v>
      </c>
      <c r="O37" s="44">
        <v>46151</v>
      </c>
      <c r="P37" s="4"/>
    </row>
    <row r="38" spans="1:18">
      <c r="A38" s="127"/>
      <c r="B38" s="22" t="s">
        <v>15</v>
      </c>
      <c r="C38" s="65" t="s">
        <v>115</v>
      </c>
      <c r="D38" s="19"/>
      <c r="E38" s="19"/>
      <c r="F38" s="19"/>
      <c r="G38" s="65" t="s">
        <v>120</v>
      </c>
      <c r="H38" s="19"/>
      <c r="I38" s="19"/>
      <c r="L38" s="7" t="s">
        <v>117</v>
      </c>
      <c r="M38" s="13">
        <v>46101</v>
      </c>
      <c r="N38" s="13">
        <v>46129</v>
      </c>
      <c r="O38" s="44">
        <v>46137</v>
      </c>
      <c r="P38" s="44">
        <v>46172</v>
      </c>
    </row>
    <row r="39" spans="1:18">
      <c r="A39" s="127"/>
      <c r="B39" s="25" t="s">
        <v>17</v>
      </c>
      <c r="C39" s="19"/>
      <c r="D39" s="19"/>
      <c r="E39" s="19"/>
      <c r="F39" s="19"/>
      <c r="G39" s="23"/>
      <c r="H39" s="19"/>
      <c r="I39" s="19"/>
      <c r="M39" s="12"/>
      <c r="N39" s="12"/>
      <c r="O39" s="4"/>
      <c r="P39" s="4"/>
    </row>
    <row r="40" spans="1:18">
      <c r="A40" s="127"/>
      <c r="B40" s="153" t="s">
        <v>18</v>
      </c>
      <c r="C40" s="9" t="s">
        <v>116</v>
      </c>
      <c r="D40" s="9" t="s">
        <v>118</v>
      </c>
      <c r="E40" s="9" t="s">
        <v>120</v>
      </c>
      <c r="F40" s="9" t="s">
        <v>118</v>
      </c>
      <c r="G40" s="9" t="s">
        <v>118</v>
      </c>
      <c r="H40" s="9" t="s">
        <v>113</v>
      </c>
      <c r="I40" s="56" t="s">
        <v>113</v>
      </c>
      <c r="L40" s="7"/>
      <c r="M40" s="24"/>
      <c r="N40" s="24"/>
      <c r="O40" s="4"/>
      <c r="P40" s="4"/>
    </row>
    <row r="41" spans="1:18">
      <c r="A41" s="127"/>
      <c r="B41" s="154"/>
      <c r="C41" s="9" t="s">
        <v>118</v>
      </c>
      <c r="D41" s="9" t="s">
        <v>114</v>
      </c>
      <c r="E41" s="9" t="s">
        <v>114</v>
      </c>
      <c r="F41" s="9" t="s">
        <v>114</v>
      </c>
      <c r="G41" s="9" t="s">
        <v>114</v>
      </c>
      <c r="H41" s="9" t="s">
        <v>118</v>
      </c>
      <c r="I41" s="9" t="s">
        <v>118</v>
      </c>
    </row>
    <row r="42" spans="1:18">
      <c r="A42" s="127"/>
      <c r="B42" s="154"/>
      <c r="C42" s="9" t="s">
        <v>114</v>
      </c>
      <c r="D42" s="9" t="s">
        <v>117</v>
      </c>
      <c r="E42" s="9" t="s">
        <v>117</v>
      </c>
      <c r="F42" s="9" t="s">
        <v>117</v>
      </c>
      <c r="G42" s="9" t="s">
        <v>117</v>
      </c>
      <c r="H42" s="9" t="s">
        <v>114</v>
      </c>
      <c r="I42" s="56" t="s">
        <v>114</v>
      </c>
    </row>
    <row r="43" spans="1:18">
      <c r="A43" s="127"/>
      <c r="B43" s="154"/>
      <c r="C43" s="10"/>
      <c r="D43" s="9"/>
      <c r="E43" s="9"/>
      <c r="F43" s="9"/>
      <c r="G43" s="9"/>
      <c r="H43" s="9" t="s">
        <v>117</v>
      </c>
      <c r="I43" s="9" t="s">
        <v>117</v>
      </c>
    </row>
    <row r="44" spans="1:18">
      <c r="A44" s="127"/>
      <c r="B44" s="155"/>
      <c r="C44" s="9"/>
      <c r="D44" s="9"/>
      <c r="E44" s="9"/>
      <c r="F44" s="9"/>
      <c r="G44" s="9"/>
      <c r="H44" s="9"/>
      <c r="I44" s="9"/>
    </row>
    <row r="45" spans="1:18">
      <c r="A45" s="127"/>
      <c r="B45" s="158" t="s">
        <v>12</v>
      </c>
      <c r="C45" s="19"/>
      <c r="D45" s="19"/>
      <c r="E45" s="27"/>
      <c r="F45" s="27"/>
      <c r="G45" s="19"/>
      <c r="H45" s="29"/>
      <c r="I45" s="18" t="s">
        <v>113</v>
      </c>
    </row>
    <row r="46" spans="1:18">
      <c r="A46" s="127"/>
      <c r="B46" s="159"/>
      <c r="C46" s="19"/>
      <c r="D46" s="19"/>
      <c r="E46" s="27"/>
      <c r="F46" s="27"/>
      <c r="G46" s="27"/>
      <c r="H46" s="29"/>
      <c r="I46" s="18" t="s">
        <v>114</v>
      </c>
    </row>
    <row r="47" spans="1:18">
      <c r="A47" s="127"/>
      <c r="B47" s="22" t="s">
        <v>15</v>
      </c>
      <c r="C47" s="19"/>
      <c r="D47" s="19"/>
      <c r="E47" s="19"/>
      <c r="F47" s="19"/>
      <c r="G47" s="27"/>
      <c r="H47" s="65" t="s">
        <v>114</v>
      </c>
      <c r="I47" s="29"/>
    </row>
    <row r="48" spans="1:18">
      <c r="A48" s="127"/>
      <c r="B48" s="25" t="s">
        <v>17</v>
      </c>
      <c r="C48" s="19"/>
      <c r="D48" s="27"/>
      <c r="E48" s="27"/>
      <c r="F48" s="27"/>
      <c r="G48" s="27"/>
      <c r="H48" s="27"/>
      <c r="I48" s="27"/>
    </row>
    <row r="49" spans="1:18">
      <c r="B49" s="4"/>
      <c r="C49" s="15">
        <f>COUNTA(C30:C35,C40:C44)</f>
        <v>7</v>
      </c>
      <c r="D49" s="15">
        <f t="shared" ref="D49:I49" si="1">COUNTA(D30:D35,D40:D44)</f>
        <v>7</v>
      </c>
      <c r="E49" s="15">
        <f t="shared" si="1"/>
        <v>7</v>
      </c>
      <c r="F49" s="15">
        <f t="shared" si="1"/>
        <v>7</v>
      </c>
      <c r="G49" s="15">
        <f t="shared" si="1"/>
        <v>7</v>
      </c>
      <c r="H49" s="15">
        <f t="shared" si="1"/>
        <v>7</v>
      </c>
      <c r="I49" s="15">
        <f t="shared" si="1"/>
        <v>7</v>
      </c>
    </row>
    <row r="50" spans="1:18">
      <c r="A50" s="127" t="s">
        <v>19</v>
      </c>
      <c r="B50" s="6" t="s">
        <v>3</v>
      </c>
      <c r="C50" s="6" t="s">
        <v>84</v>
      </c>
      <c r="D50" s="6" t="s">
        <v>85</v>
      </c>
      <c r="E50" s="6" t="s">
        <v>86</v>
      </c>
      <c r="F50" s="6" t="s">
        <v>87</v>
      </c>
      <c r="G50" s="6" t="s">
        <v>88</v>
      </c>
      <c r="H50" s="6" t="s">
        <v>89</v>
      </c>
      <c r="I50" s="6" t="s">
        <v>90</v>
      </c>
    </row>
    <row r="51" spans="1:18">
      <c r="A51" s="127"/>
      <c r="B51" s="153" t="s">
        <v>5</v>
      </c>
      <c r="C51" s="9" t="s">
        <v>115</v>
      </c>
      <c r="D51" s="10" t="s">
        <v>116</v>
      </c>
      <c r="E51" s="10" t="s">
        <v>118</v>
      </c>
      <c r="F51" s="10" t="s">
        <v>120</v>
      </c>
      <c r="G51" s="9" t="s">
        <v>120</v>
      </c>
      <c r="H51" s="9" t="s">
        <v>120</v>
      </c>
      <c r="I51" s="9" t="s">
        <v>120</v>
      </c>
    </row>
    <row r="52" spans="1:18">
      <c r="A52" s="127"/>
      <c r="B52" s="154"/>
      <c r="C52" s="9" t="s">
        <v>120</v>
      </c>
      <c r="D52" s="9" t="s">
        <v>115</v>
      </c>
      <c r="E52" s="9" t="s">
        <v>116</v>
      </c>
      <c r="F52" s="9" t="s">
        <v>116</v>
      </c>
      <c r="G52" s="96" t="s">
        <v>116</v>
      </c>
      <c r="H52" s="89" t="s">
        <v>116</v>
      </c>
      <c r="I52" s="9" t="s">
        <v>116</v>
      </c>
    </row>
    <row r="53" spans="1:18">
      <c r="A53" s="127"/>
      <c r="B53" s="154"/>
      <c r="C53" s="9" t="s">
        <v>113</v>
      </c>
      <c r="D53" s="9" t="s">
        <v>120</v>
      </c>
      <c r="E53" s="9" t="s">
        <v>115</v>
      </c>
      <c r="F53" s="9" t="s">
        <v>115</v>
      </c>
      <c r="G53" s="89" t="s">
        <v>115</v>
      </c>
      <c r="H53" s="89" t="s">
        <v>115</v>
      </c>
      <c r="I53" s="10" t="s">
        <v>115</v>
      </c>
    </row>
    <row r="54" spans="1:18">
      <c r="A54" s="127"/>
      <c r="B54" s="154"/>
      <c r="C54" s="9"/>
      <c r="D54" s="9" t="s">
        <v>113</v>
      </c>
      <c r="E54" s="9" t="s">
        <v>113</v>
      </c>
      <c r="F54" s="9" t="s">
        <v>113</v>
      </c>
      <c r="G54" s="89" t="s">
        <v>113</v>
      </c>
      <c r="H54" s="9"/>
      <c r="I54" s="9"/>
    </row>
    <row r="55" spans="1:18">
      <c r="A55" s="127"/>
      <c r="B55" s="155"/>
      <c r="C55" s="9"/>
      <c r="D55" s="9"/>
      <c r="E55" s="9"/>
      <c r="F55" s="9"/>
      <c r="G55" s="9"/>
      <c r="H55" s="9"/>
      <c r="I55" s="9"/>
    </row>
    <row r="56" spans="1:18">
      <c r="A56" s="127"/>
      <c r="B56" s="158" t="s">
        <v>12</v>
      </c>
      <c r="C56" s="19"/>
      <c r="D56" s="18" t="s">
        <v>116</v>
      </c>
      <c r="E56" s="18" t="s">
        <v>118</v>
      </c>
      <c r="F56" s="18" t="s">
        <v>120</v>
      </c>
      <c r="G56" s="19"/>
      <c r="H56" s="19"/>
      <c r="I56" s="18" t="s">
        <v>115</v>
      </c>
    </row>
    <row r="57" spans="1:18">
      <c r="A57" s="127"/>
      <c r="B57" s="159"/>
      <c r="C57" s="19"/>
      <c r="D57" s="19"/>
      <c r="E57" s="28"/>
      <c r="F57" s="19"/>
      <c r="G57" s="19"/>
      <c r="H57" s="19"/>
      <c r="I57" s="19"/>
    </row>
    <row r="58" spans="1:18">
      <c r="A58" s="127"/>
      <c r="B58" s="22" t="s">
        <v>15</v>
      </c>
      <c r="C58" s="19"/>
      <c r="D58" s="19"/>
      <c r="E58" s="19"/>
      <c r="F58" s="19"/>
      <c r="G58" s="65" t="s">
        <v>116</v>
      </c>
      <c r="H58" s="19"/>
      <c r="I58" s="19"/>
    </row>
    <row r="59" spans="1:18">
      <c r="A59" s="127"/>
      <c r="B59" s="22"/>
      <c r="C59" s="19"/>
      <c r="D59" s="19"/>
      <c r="E59" s="19"/>
      <c r="F59" s="19"/>
      <c r="G59" s="23"/>
      <c r="H59" s="19"/>
      <c r="I59" s="19"/>
    </row>
    <row r="60" spans="1:18">
      <c r="A60" s="127"/>
      <c r="B60" s="25" t="s">
        <v>17</v>
      </c>
      <c r="C60" s="19"/>
      <c r="D60" s="19"/>
      <c r="E60" s="19"/>
      <c r="F60" s="19"/>
      <c r="G60" s="23"/>
      <c r="H60" s="19"/>
      <c r="I60" s="19"/>
    </row>
    <row r="61" spans="1:18">
      <c r="A61" s="127"/>
      <c r="B61" s="153" t="s">
        <v>18</v>
      </c>
      <c r="C61" s="9" t="s">
        <v>116</v>
      </c>
      <c r="D61" s="9" t="s">
        <v>118</v>
      </c>
      <c r="E61" s="9" t="s">
        <v>120</v>
      </c>
      <c r="F61" s="9" t="s">
        <v>118</v>
      </c>
      <c r="G61" s="9" t="s">
        <v>118</v>
      </c>
      <c r="H61" s="9" t="s">
        <v>113</v>
      </c>
      <c r="I61" s="10" t="s">
        <v>113</v>
      </c>
    </row>
    <row r="62" spans="1:18">
      <c r="A62" s="127"/>
      <c r="B62" s="154"/>
      <c r="C62" s="9" t="s">
        <v>118</v>
      </c>
      <c r="D62" s="9" t="s">
        <v>114</v>
      </c>
      <c r="E62" s="9" t="s">
        <v>114</v>
      </c>
      <c r="F62" s="9" t="s">
        <v>114</v>
      </c>
      <c r="G62" s="9" t="s">
        <v>114</v>
      </c>
      <c r="H62" s="9" t="s">
        <v>118</v>
      </c>
      <c r="I62" s="9" t="s">
        <v>118</v>
      </c>
    </row>
    <row r="63" spans="1:18">
      <c r="A63" s="127"/>
      <c r="B63" s="154"/>
      <c r="C63" s="9" t="s">
        <v>114</v>
      </c>
      <c r="D63" s="9" t="s">
        <v>117</v>
      </c>
      <c r="E63" s="9" t="s">
        <v>117</v>
      </c>
      <c r="F63" s="9" t="s">
        <v>117</v>
      </c>
      <c r="G63" s="9" t="s">
        <v>117</v>
      </c>
      <c r="H63" s="9" t="s">
        <v>114</v>
      </c>
      <c r="I63" s="10" t="s">
        <v>114</v>
      </c>
    </row>
    <row r="64" spans="1:18">
      <c r="A64" s="127"/>
      <c r="B64" s="154"/>
      <c r="C64" s="10" t="s">
        <v>117</v>
      </c>
      <c r="D64" s="9"/>
      <c r="E64" s="9"/>
      <c r="F64" s="9"/>
      <c r="G64" s="9"/>
      <c r="H64" s="9" t="s">
        <v>117</v>
      </c>
      <c r="I64" s="9" t="s">
        <v>117</v>
      </c>
    </row>
    <row r="65" spans="1:14">
      <c r="A65" s="127"/>
      <c r="B65" s="155"/>
      <c r="C65" s="9"/>
      <c r="D65" s="9"/>
      <c r="E65" s="9"/>
      <c r="F65" s="9"/>
      <c r="G65" s="9"/>
      <c r="H65" s="9"/>
      <c r="I65" s="9"/>
      <c r="L65" s="35"/>
      <c r="M65" s="35"/>
      <c r="N65" s="35"/>
    </row>
    <row r="66" spans="1:14">
      <c r="A66" s="127"/>
      <c r="B66" s="158" t="s">
        <v>12</v>
      </c>
      <c r="C66" s="18" t="s">
        <v>117</v>
      </c>
      <c r="D66" s="19"/>
      <c r="E66" s="27"/>
      <c r="F66" s="27"/>
      <c r="G66" s="19"/>
      <c r="H66" s="19"/>
      <c r="I66" s="18" t="s">
        <v>113</v>
      </c>
      <c r="L66" s="35"/>
      <c r="M66" s="35"/>
      <c r="N66" s="35"/>
    </row>
    <row r="67" spans="1:14">
      <c r="A67" s="127"/>
      <c r="B67" s="159"/>
      <c r="C67" s="19"/>
      <c r="D67" s="19"/>
      <c r="E67" s="27"/>
      <c r="F67" s="27"/>
      <c r="G67" s="27"/>
      <c r="H67" s="19"/>
      <c r="I67" s="18" t="s">
        <v>114</v>
      </c>
      <c r="L67" s="35"/>
      <c r="M67" s="35"/>
      <c r="N67" s="35"/>
    </row>
    <row r="68" spans="1:14">
      <c r="A68" s="127"/>
      <c r="B68" s="22" t="s">
        <v>15</v>
      </c>
      <c r="C68" s="19"/>
      <c r="D68" s="19"/>
      <c r="E68" s="19"/>
      <c r="F68" s="19"/>
      <c r="G68" s="19"/>
      <c r="H68" s="65" t="s">
        <v>118</v>
      </c>
      <c r="I68" s="19"/>
      <c r="L68" s="35"/>
      <c r="M68" s="35"/>
      <c r="N68" s="35"/>
    </row>
    <row r="69" spans="1:14">
      <c r="A69" s="127"/>
      <c r="B69" s="25" t="s">
        <v>17</v>
      </c>
      <c r="C69" s="19"/>
      <c r="D69" s="30"/>
      <c r="E69" s="19"/>
      <c r="F69" s="27"/>
      <c r="G69" s="19"/>
      <c r="H69" s="19"/>
      <c r="I69" s="19"/>
      <c r="L69" s="35"/>
      <c r="M69" s="35"/>
      <c r="N69" s="35"/>
    </row>
    <row r="70" spans="1:14">
      <c r="B70" s="4"/>
      <c r="C70" s="15">
        <f>COUNTA(C51:C55,C61:C65)</f>
        <v>7</v>
      </c>
      <c r="D70" s="15">
        <f t="shared" ref="D70:I70" si="2">COUNTA(D51:D55,D61:D65)</f>
        <v>7</v>
      </c>
      <c r="E70" s="15">
        <f t="shared" si="2"/>
        <v>7</v>
      </c>
      <c r="F70" s="15">
        <f t="shared" si="2"/>
        <v>7</v>
      </c>
      <c r="G70" s="15">
        <f t="shared" si="2"/>
        <v>7</v>
      </c>
      <c r="H70" s="15">
        <f t="shared" si="2"/>
        <v>7</v>
      </c>
      <c r="I70" s="15">
        <f t="shared" si="2"/>
        <v>7</v>
      </c>
      <c r="M70" s="91"/>
    </row>
    <row r="71" spans="1:14">
      <c r="A71" s="127" t="s">
        <v>20</v>
      </c>
      <c r="B71" s="6" t="s">
        <v>3</v>
      </c>
      <c r="C71" s="6" t="s">
        <v>91</v>
      </c>
      <c r="D71" s="6" t="s">
        <v>92</v>
      </c>
      <c r="E71" s="6" t="s">
        <v>93</v>
      </c>
      <c r="F71" s="6" t="s">
        <v>94</v>
      </c>
      <c r="G71" s="6" t="s">
        <v>95</v>
      </c>
      <c r="H71" s="6" t="s">
        <v>96</v>
      </c>
      <c r="I71" s="6" t="s">
        <v>97</v>
      </c>
    </row>
    <row r="72" spans="1:14">
      <c r="A72" s="127"/>
      <c r="B72" s="153" t="s">
        <v>5</v>
      </c>
      <c r="C72" s="9" t="s">
        <v>115</v>
      </c>
      <c r="D72" s="10" t="s">
        <v>116</v>
      </c>
      <c r="E72" s="10" t="s">
        <v>118</v>
      </c>
      <c r="F72" s="10" t="s">
        <v>120</v>
      </c>
      <c r="G72" s="9" t="s">
        <v>120</v>
      </c>
      <c r="H72" s="9" t="s">
        <v>120</v>
      </c>
      <c r="I72" s="9" t="s">
        <v>120</v>
      </c>
      <c r="K72" s="11"/>
    </row>
    <row r="73" spans="1:14">
      <c r="A73" s="127"/>
      <c r="B73" s="154"/>
      <c r="C73" s="9" t="s">
        <v>120</v>
      </c>
      <c r="D73" s="9" t="s">
        <v>115</v>
      </c>
      <c r="E73" s="9" t="s">
        <v>116</v>
      </c>
      <c r="F73" s="9" t="s">
        <v>116</v>
      </c>
      <c r="G73" s="89" t="s">
        <v>116</v>
      </c>
      <c r="H73" s="89" t="s">
        <v>116</v>
      </c>
      <c r="I73" s="9" t="s">
        <v>116</v>
      </c>
      <c r="L73" s="91"/>
    </row>
    <row r="74" spans="1:14">
      <c r="A74" s="127"/>
      <c r="B74" s="154"/>
      <c r="C74" s="9" t="s">
        <v>113</v>
      </c>
      <c r="D74" s="9" t="s">
        <v>120</v>
      </c>
      <c r="E74" s="9" t="s">
        <v>115</v>
      </c>
      <c r="F74" s="9" t="s">
        <v>115</v>
      </c>
      <c r="G74" s="89" t="s">
        <v>115</v>
      </c>
      <c r="H74" s="89" t="s">
        <v>115</v>
      </c>
      <c r="I74" s="10" t="s">
        <v>115</v>
      </c>
      <c r="L74" s="91"/>
    </row>
    <row r="75" spans="1:14">
      <c r="A75" s="127"/>
      <c r="B75" s="154"/>
      <c r="C75" s="9"/>
      <c r="D75" s="9" t="s">
        <v>113</v>
      </c>
      <c r="E75" s="9" t="s">
        <v>113</v>
      </c>
      <c r="F75" s="9" t="s">
        <v>113</v>
      </c>
      <c r="G75" s="96" t="s">
        <v>113</v>
      </c>
      <c r="H75" s="9"/>
      <c r="I75" s="9"/>
      <c r="L75" s="91"/>
    </row>
    <row r="76" spans="1:14">
      <c r="A76" s="127"/>
      <c r="B76" s="155"/>
      <c r="C76" s="9"/>
      <c r="D76" s="9"/>
      <c r="E76" s="9"/>
      <c r="F76" s="9"/>
      <c r="G76" s="9"/>
      <c r="H76" s="9"/>
      <c r="I76" s="9"/>
      <c r="L76" s="91"/>
    </row>
    <row r="77" spans="1:14">
      <c r="A77" s="127"/>
      <c r="B77" s="158" t="s">
        <v>12</v>
      </c>
      <c r="C77" s="19"/>
      <c r="D77" s="18" t="s">
        <v>116</v>
      </c>
      <c r="E77" s="18" t="s">
        <v>118</v>
      </c>
      <c r="F77" s="18" t="s">
        <v>120</v>
      </c>
      <c r="G77" s="19"/>
      <c r="H77" s="65" t="s">
        <v>115</v>
      </c>
      <c r="I77" s="18" t="s">
        <v>115</v>
      </c>
      <c r="L77" s="91"/>
    </row>
    <row r="78" spans="1:14">
      <c r="A78" s="127"/>
      <c r="B78" s="159"/>
      <c r="C78" s="19"/>
      <c r="D78" s="19"/>
      <c r="E78" s="23"/>
      <c r="F78" s="23"/>
      <c r="G78" s="23"/>
      <c r="H78" s="19"/>
      <c r="I78" s="19"/>
      <c r="L78" s="91"/>
    </row>
    <row r="79" spans="1:14">
      <c r="A79" s="127"/>
      <c r="B79" s="22" t="s">
        <v>15</v>
      </c>
      <c r="C79" s="19"/>
      <c r="D79" s="19"/>
      <c r="E79" s="23"/>
      <c r="F79" s="23"/>
      <c r="G79" s="23"/>
      <c r="H79" s="23"/>
      <c r="I79" s="19"/>
      <c r="L79" s="91"/>
    </row>
    <row r="80" spans="1:14">
      <c r="A80" s="127"/>
      <c r="B80" s="25" t="s">
        <v>17</v>
      </c>
      <c r="C80" s="19"/>
      <c r="D80" s="19"/>
      <c r="E80" s="23"/>
      <c r="F80" s="23"/>
      <c r="G80" s="23"/>
      <c r="H80" s="23"/>
      <c r="I80" s="19"/>
      <c r="L80" s="91"/>
    </row>
    <row r="81" spans="1:12">
      <c r="A81" s="127"/>
      <c r="B81" s="153" t="s">
        <v>18</v>
      </c>
      <c r="C81" s="9" t="s">
        <v>116</v>
      </c>
      <c r="D81" s="9" t="s">
        <v>118</v>
      </c>
      <c r="E81" s="9" t="s">
        <v>120</v>
      </c>
      <c r="F81" s="9" t="s">
        <v>118</v>
      </c>
      <c r="G81" s="9" t="s">
        <v>118</v>
      </c>
      <c r="H81" s="9" t="s">
        <v>113</v>
      </c>
      <c r="I81" s="10" t="s">
        <v>113</v>
      </c>
      <c r="L81" s="92"/>
    </row>
    <row r="82" spans="1:12">
      <c r="A82" s="127"/>
      <c r="B82" s="154"/>
      <c r="C82" s="9" t="s">
        <v>118</v>
      </c>
      <c r="D82" s="9" t="s">
        <v>114</v>
      </c>
      <c r="E82" s="9" t="s">
        <v>114</v>
      </c>
      <c r="F82" s="9" t="s">
        <v>114</v>
      </c>
      <c r="G82" s="9" t="s">
        <v>114</v>
      </c>
      <c r="H82" s="9" t="s">
        <v>118</v>
      </c>
      <c r="I82" s="9" t="s">
        <v>118</v>
      </c>
    </row>
    <row r="83" spans="1:12">
      <c r="A83" s="127"/>
      <c r="B83" s="154"/>
      <c r="C83" s="9" t="s">
        <v>114</v>
      </c>
      <c r="D83" s="9" t="s">
        <v>117</v>
      </c>
      <c r="E83" s="9" t="s">
        <v>117</v>
      </c>
      <c r="F83" s="9" t="s">
        <v>117</v>
      </c>
      <c r="G83" s="56" t="s">
        <v>117</v>
      </c>
      <c r="H83" s="45" t="s">
        <v>114</v>
      </c>
      <c r="I83" s="10" t="s">
        <v>114</v>
      </c>
    </row>
    <row r="84" spans="1:12">
      <c r="A84" s="127"/>
      <c r="B84" s="154"/>
      <c r="C84" s="10" t="s">
        <v>117</v>
      </c>
      <c r="D84" s="9"/>
      <c r="E84" s="9"/>
      <c r="F84" s="9"/>
      <c r="G84" s="9" t="s">
        <v>113</v>
      </c>
      <c r="H84" s="9" t="s">
        <v>117</v>
      </c>
      <c r="I84" s="9" t="s">
        <v>117</v>
      </c>
    </row>
    <row r="85" spans="1:12">
      <c r="A85" s="127"/>
      <c r="B85" s="155"/>
      <c r="C85" s="9"/>
      <c r="D85" s="9"/>
      <c r="E85" s="9"/>
      <c r="F85" s="9"/>
      <c r="G85" s="9"/>
      <c r="H85" s="9"/>
      <c r="I85" s="9"/>
    </row>
    <row r="86" spans="1:12">
      <c r="A86" s="127"/>
      <c r="B86" s="158" t="s">
        <v>12</v>
      </c>
      <c r="C86" s="18" t="s">
        <v>117</v>
      </c>
      <c r="D86" s="27"/>
      <c r="E86" s="27"/>
      <c r="F86" s="27"/>
      <c r="G86" s="19"/>
      <c r="H86" s="19"/>
      <c r="I86" s="18" t="s">
        <v>113</v>
      </c>
    </row>
    <row r="87" spans="1:12">
      <c r="A87" s="127"/>
      <c r="B87" s="159"/>
      <c r="C87" s="27"/>
      <c r="D87" s="27"/>
      <c r="E87" s="27"/>
      <c r="F87" s="27"/>
      <c r="G87" s="27"/>
      <c r="H87" s="19"/>
      <c r="I87" s="18" t="s">
        <v>114</v>
      </c>
    </row>
    <row r="88" spans="1:12">
      <c r="A88" s="127"/>
      <c r="B88" s="22" t="s">
        <v>15</v>
      </c>
      <c r="C88" s="19"/>
      <c r="D88" s="30"/>
      <c r="E88" s="27"/>
      <c r="F88" s="27"/>
      <c r="G88" s="65" t="s">
        <v>117</v>
      </c>
      <c r="H88" s="29"/>
      <c r="I88" s="19"/>
    </row>
    <row r="89" spans="1:12">
      <c r="A89" s="127"/>
      <c r="B89" s="25" t="s">
        <v>17</v>
      </c>
      <c r="C89" s="19"/>
      <c r="D89" s="30"/>
      <c r="E89" s="27"/>
      <c r="F89" s="27"/>
      <c r="G89" s="27"/>
      <c r="H89" s="27"/>
      <c r="I89" s="19"/>
    </row>
    <row r="90" spans="1:12">
      <c r="B90" s="4"/>
      <c r="C90" s="15">
        <f>COUNTA(C72:C76,C81:C85)</f>
        <v>7</v>
      </c>
      <c r="D90" s="15">
        <f>COUNTA(D72:D76,D81:D84)</f>
        <v>7</v>
      </c>
      <c r="E90" s="15">
        <f t="shared" ref="E90:I90" si="3">COUNTA(E72:E76,E81:E85)</f>
        <v>7</v>
      </c>
      <c r="F90" s="15">
        <f t="shared" si="3"/>
        <v>7</v>
      </c>
      <c r="G90" s="15">
        <f t="shared" si="3"/>
        <v>8</v>
      </c>
      <c r="H90" s="15">
        <f t="shared" si="3"/>
        <v>7</v>
      </c>
      <c r="I90" s="15">
        <f t="shared" si="3"/>
        <v>7</v>
      </c>
    </row>
    <row r="91" spans="1:12">
      <c r="A91" s="127" t="s">
        <v>21</v>
      </c>
      <c r="B91" s="6" t="s">
        <v>3</v>
      </c>
      <c r="C91" s="6" t="s">
        <v>98</v>
      </c>
      <c r="D91" s="6" t="s">
        <v>99</v>
      </c>
      <c r="E91" s="6" t="s">
        <v>100</v>
      </c>
      <c r="F91" s="6" t="s">
        <v>101</v>
      </c>
      <c r="G91" s="6" t="s">
        <v>102</v>
      </c>
      <c r="H91" s="6" t="s">
        <v>103</v>
      </c>
      <c r="I91" s="6" t="s">
        <v>104</v>
      </c>
    </row>
    <row r="92" spans="1:12">
      <c r="A92" s="127"/>
      <c r="B92" s="153" t="s">
        <v>5</v>
      </c>
      <c r="C92" s="9" t="s">
        <v>115</v>
      </c>
      <c r="D92" s="56" t="s">
        <v>116</v>
      </c>
      <c r="E92" s="56" t="s">
        <v>118</v>
      </c>
      <c r="F92" s="56" t="s">
        <v>120</v>
      </c>
      <c r="G92" s="9" t="s">
        <v>120</v>
      </c>
      <c r="H92" s="9" t="s">
        <v>120</v>
      </c>
      <c r="I92" s="9" t="s">
        <v>120</v>
      </c>
    </row>
    <row r="93" spans="1:12">
      <c r="A93" s="127"/>
      <c r="B93" s="154"/>
      <c r="C93" s="9" t="s">
        <v>120</v>
      </c>
      <c r="D93" s="9" t="s">
        <v>115</v>
      </c>
      <c r="E93" s="56" t="s">
        <v>116</v>
      </c>
      <c r="F93" s="56" t="s">
        <v>116</v>
      </c>
      <c r="G93" s="96" t="s">
        <v>116</v>
      </c>
      <c r="H93" s="96" t="s">
        <v>116</v>
      </c>
      <c r="I93" s="56" t="s">
        <v>116</v>
      </c>
    </row>
    <row r="94" spans="1:12">
      <c r="A94" s="127"/>
      <c r="B94" s="154"/>
      <c r="C94" s="9" t="s">
        <v>113</v>
      </c>
      <c r="D94" s="9" t="s">
        <v>120</v>
      </c>
      <c r="E94" s="9" t="s">
        <v>115</v>
      </c>
      <c r="F94" s="9" t="s">
        <v>115</v>
      </c>
      <c r="G94" s="89" t="s">
        <v>115</v>
      </c>
      <c r="H94" s="89" t="s">
        <v>115</v>
      </c>
      <c r="I94" s="10" t="s">
        <v>115</v>
      </c>
    </row>
    <row r="95" spans="1:12">
      <c r="A95" s="127"/>
      <c r="B95" s="154"/>
      <c r="C95" s="9"/>
      <c r="D95" s="9" t="s">
        <v>113</v>
      </c>
      <c r="E95" s="9" t="s">
        <v>113</v>
      </c>
      <c r="F95" s="9" t="s">
        <v>113</v>
      </c>
      <c r="G95" s="89" t="s">
        <v>113</v>
      </c>
      <c r="H95" s="9"/>
      <c r="I95" s="9"/>
    </row>
    <row r="96" spans="1:12">
      <c r="A96" s="127"/>
      <c r="B96" s="155"/>
      <c r="C96" s="9"/>
      <c r="D96" s="56" t="s">
        <v>14</v>
      </c>
      <c r="E96" s="9" t="s">
        <v>14</v>
      </c>
      <c r="F96" s="9" t="s">
        <v>14</v>
      </c>
      <c r="G96" s="9" t="s">
        <v>14</v>
      </c>
      <c r="H96" s="9" t="s">
        <v>14</v>
      </c>
      <c r="I96" s="9"/>
    </row>
    <row r="97" spans="1:9">
      <c r="A97" s="127"/>
      <c r="B97" s="158" t="s">
        <v>12</v>
      </c>
      <c r="C97" s="19"/>
      <c r="D97" s="18" t="s">
        <v>14</v>
      </c>
      <c r="E97" s="18" t="s">
        <v>118</v>
      </c>
      <c r="F97" s="18" t="s">
        <v>120</v>
      </c>
      <c r="G97" s="19"/>
      <c r="H97" s="19"/>
      <c r="I97" s="18" t="s">
        <v>115</v>
      </c>
    </row>
    <row r="98" spans="1:9">
      <c r="A98" s="127"/>
      <c r="B98" s="159"/>
      <c r="C98" s="19"/>
      <c r="D98" s="28"/>
      <c r="E98" s="23"/>
      <c r="F98" s="23"/>
      <c r="G98" s="23"/>
      <c r="H98" s="19"/>
      <c r="I98" s="19"/>
    </row>
    <row r="99" spans="1:9">
      <c r="A99" s="127"/>
      <c r="B99" s="22" t="s">
        <v>15</v>
      </c>
      <c r="C99" s="19"/>
      <c r="D99" s="19"/>
      <c r="E99" s="23"/>
      <c r="F99" s="23"/>
      <c r="G99" s="23"/>
      <c r="H99" s="23"/>
      <c r="I99" s="19"/>
    </row>
    <row r="100" spans="1:9">
      <c r="A100" s="127"/>
      <c r="B100" s="25" t="s">
        <v>17</v>
      </c>
      <c r="C100" s="19"/>
      <c r="D100" s="19"/>
      <c r="E100" s="23"/>
      <c r="F100" s="23"/>
      <c r="G100" s="23"/>
      <c r="H100" s="23"/>
      <c r="I100" s="19"/>
    </row>
    <row r="101" spans="1:9">
      <c r="A101" s="127"/>
      <c r="B101" s="153" t="s">
        <v>18</v>
      </c>
      <c r="C101" s="56" t="s">
        <v>116</v>
      </c>
      <c r="D101" s="9" t="s">
        <v>118</v>
      </c>
      <c r="E101" s="9" t="s">
        <v>120</v>
      </c>
      <c r="F101" s="9" t="s">
        <v>118</v>
      </c>
      <c r="G101" s="9" t="s">
        <v>118</v>
      </c>
      <c r="H101" s="9" t="s">
        <v>113</v>
      </c>
      <c r="I101" s="56" t="s">
        <v>113</v>
      </c>
    </row>
    <row r="102" spans="1:9">
      <c r="A102" s="127"/>
      <c r="B102" s="154"/>
      <c r="C102" s="9" t="s">
        <v>118</v>
      </c>
      <c r="D102" s="9" t="s">
        <v>114</v>
      </c>
      <c r="E102" s="9" t="s">
        <v>114</v>
      </c>
      <c r="F102" s="9" t="s">
        <v>114</v>
      </c>
      <c r="G102" s="56" t="s">
        <v>114</v>
      </c>
      <c r="H102" s="9" t="s">
        <v>118</v>
      </c>
      <c r="I102" s="9" t="s">
        <v>118</v>
      </c>
    </row>
    <row r="103" spans="1:9">
      <c r="A103" s="127"/>
      <c r="B103" s="154"/>
      <c r="C103" s="9" t="s">
        <v>114</v>
      </c>
      <c r="D103" s="9" t="s">
        <v>117</v>
      </c>
      <c r="E103" s="9" t="s">
        <v>117</v>
      </c>
      <c r="F103" s="9" t="s">
        <v>117</v>
      </c>
      <c r="G103" s="9" t="s">
        <v>117</v>
      </c>
      <c r="H103" s="9" t="s">
        <v>114</v>
      </c>
      <c r="I103" s="56" t="s">
        <v>114</v>
      </c>
    </row>
    <row r="104" spans="1:9">
      <c r="A104" s="127"/>
      <c r="B104" s="154"/>
      <c r="C104" s="56" t="s">
        <v>117</v>
      </c>
      <c r="D104" s="9"/>
      <c r="E104" s="9"/>
      <c r="F104" s="9"/>
      <c r="G104" s="9" t="s">
        <v>113</v>
      </c>
      <c r="H104" s="9" t="s">
        <v>117</v>
      </c>
      <c r="I104" s="9" t="s">
        <v>117</v>
      </c>
    </row>
    <row r="105" spans="1:9">
      <c r="A105" s="127"/>
      <c r="B105" s="155"/>
      <c r="C105" s="9" t="s">
        <v>14</v>
      </c>
      <c r="D105" s="9"/>
      <c r="E105" s="9"/>
      <c r="F105" s="9"/>
      <c r="G105" s="9"/>
      <c r="H105" s="9"/>
      <c r="I105" s="9"/>
    </row>
    <row r="106" spans="1:9">
      <c r="A106" s="127"/>
      <c r="B106" s="158" t="s">
        <v>12</v>
      </c>
      <c r="C106" s="18" t="s">
        <v>117</v>
      </c>
      <c r="D106" s="27"/>
      <c r="E106" s="27"/>
      <c r="F106" s="27"/>
      <c r="G106" s="19"/>
      <c r="H106" s="19"/>
      <c r="I106" s="18" t="s">
        <v>113</v>
      </c>
    </row>
    <row r="107" spans="1:9">
      <c r="A107" s="127"/>
      <c r="B107" s="159"/>
      <c r="C107" s="27"/>
      <c r="D107" s="27"/>
      <c r="E107" s="27"/>
      <c r="F107" s="27"/>
      <c r="G107" s="27"/>
      <c r="H107" s="29"/>
      <c r="I107" s="18" t="s">
        <v>114</v>
      </c>
    </row>
    <row r="108" spans="1:9">
      <c r="A108" s="127"/>
      <c r="B108" s="22" t="s">
        <v>15</v>
      </c>
      <c r="C108" s="19"/>
      <c r="D108" s="30"/>
      <c r="E108" s="27"/>
      <c r="F108" s="27"/>
      <c r="G108" s="65" t="s">
        <v>114</v>
      </c>
      <c r="H108" s="29"/>
      <c r="I108" s="19"/>
    </row>
    <row r="109" spans="1:9">
      <c r="A109" s="127"/>
      <c r="B109" s="25" t="s">
        <v>17</v>
      </c>
      <c r="C109" s="97" t="s">
        <v>116</v>
      </c>
      <c r="D109" s="97" t="s">
        <v>116</v>
      </c>
      <c r="E109" s="97" t="s">
        <v>116</v>
      </c>
      <c r="F109" s="97" t="s">
        <v>116</v>
      </c>
      <c r="G109" s="97" t="s">
        <v>116</v>
      </c>
      <c r="H109" s="97" t="s">
        <v>116</v>
      </c>
      <c r="I109" s="97" t="s">
        <v>116</v>
      </c>
    </row>
    <row r="110" spans="1:9">
      <c r="C110" s="15">
        <f t="shared" ref="C110:I110" si="4">COUNTA(C92:C96,C101:C105)</f>
        <v>8</v>
      </c>
      <c r="D110" s="15">
        <f t="shared" si="4"/>
        <v>8</v>
      </c>
      <c r="E110" s="15">
        <f t="shared" si="4"/>
        <v>8</v>
      </c>
      <c r="F110" s="15">
        <f t="shared" si="4"/>
        <v>8</v>
      </c>
      <c r="G110" s="15">
        <f t="shared" si="4"/>
        <v>9</v>
      </c>
      <c r="H110" s="15">
        <f t="shared" si="4"/>
        <v>8</v>
      </c>
      <c r="I110" s="15">
        <f t="shared" si="4"/>
        <v>7</v>
      </c>
    </row>
    <row r="111" spans="1:9">
      <c r="A111" s="127" t="s">
        <v>22</v>
      </c>
      <c r="B111" s="6" t="s">
        <v>3</v>
      </c>
      <c r="C111" s="6" t="s">
        <v>105</v>
      </c>
      <c r="D111" s="6" t="s">
        <v>106</v>
      </c>
      <c r="E111" s="6" t="s">
        <v>107</v>
      </c>
      <c r="F111" s="6" t="s">
        <v>108</v>
      </c>
      <c r="G111" s="6" t="s">
        <v>109</v>
      </c>
      <c r="H111" s="6" t="s">
        <v>110</v>
      </c>
      <c r="I111" s="6" t="s">
        <v>111</v>
      </c>
    </row>
    <row r="112" spans="1:9">
      <c r="A112" s="127"/>
      <c r="B112" s="153" t="s">
        <v>5</v>
      </c>
      <c r="C112" s="9" t="s">
        <v>115</v>
      </c>
      <c r="D112" s="56" t="s">
        <v>116</v>
      </c>
      <c r="E112" s="56" t="s">
        <v>118</v>
      </c>
      <c r="F112" s="56" t="s">
        <v>120</v>
      </c>
      <c r="G112" s="9" t="s">
        <v>120</v>
      </c>
      <c r="H112" s="9" t="s">
        <v>120</v>
      </c>
      <c r="I112" s="9" t="s">
        <v>120</v>
      </c>
    </row>
    <row r="113" spans="1:9">
      <c r="A113" s="127"/>
      <c r="B113" s="154"/>
      <c r="C113" s="9" t="s">
        <v>120</v>
      </c>
      <c r="D113" s="9" t="s">
        <v>115</v>
      </c>
      <c r="E113" s="56" t="s">
        <v>116</v>
      </c>
      <c r="F113" s="56" t="s">
        <v>116</v>
      </c>
      <c r="G113" s="96" t="s">
        <v>116</v>
      </c>
      <c r="H113" s="96" t="s">
        <v>116</v>
      </c>
      <c r="I113" s="56" t="s">
        <v>116</v>
      </c>
    </row>
    <row r="114" spans="1:9">
      <c r="A114" s="127"/>
      <c r="B114" s="154"/>
      <c r="C114" s="9" t="s">
        <v>113</v>
      </c>
      <c r="D114" s="9" t="s">
        <v>120</v>
      </c>
      <c r="E114" s="9" t="s">
        <v>115</v>
      </c>
      <c r="F114" s="9" t="s">
        <v>115</v>
      </c>
      <c r="G114" s="89" t="s">
        <v>115</v>
      </c>
      <c r="H114" s="89" t="s">
        <v>115</v>
      </c>
      <c r="I114" s="56" t="s">
        <v>115</v>
      </c>
    </row>
    <row r="115" spans="1:9">
      <c r="A115" s="127"/>
      <c r="B115" s="154"/>
      <c r="C115" s="9"/>
      <c r="D115" s="9" t="s">
        <v>113</v>
      </c>
      <c r="E115" s="9" t="s">
        <v>113</v>
      </c>
      <c r="F115" s="9" t="s">
        <v>113</v>
      </c>
      <c r="G115" s="89" t="s">
        <v>113</v>
      </c>
      <c r="H115" s="9"/>
      <c r="I115" s="9"/>
    </row>
    <row r="116" spans="1:9">
      <c r="A116" s="127"/>
      <c r="B116" s="155"/>
      <c r="C116" s="9"/>
      <c r="D116" s="56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 t="s">
        <v>14</v>
      </c>
    </row>
    <row r="117" spans="1:9">
      <c r="A117" s="127"/>
      <c r="B117" s="158" t="s">
        <v>12</v>
      </c>
      <c r="C117" s="19"/>
      <c r="D117" s="18" t="s">
        <v>14</v>
      </c>
      <c r="E117" s="18" t="s">
        <v>118</v>
      </c>
      <c r="F117" s="18" t="s">
        <v>120</v>
      </c>
      <c r="G117" s="19"/>
      <c r="H117" s="19"/>
      <c r="I117" s="18" t="s">
        <v>115</v>
      </c>
    </row>
    <row r="118" spans="1:9">
      <c r="A118" s="127"/>
      <c r="B118" s="159"/>
      <c r="C118" s="19"/>
      <c r="D118" s="28"/>
      <c r="E118" s="23"/>
      <c r="F118" s="23"/>
      <c r="G118" s="23"/>
      <c r="H118" s="19"/>
      <c r="I118" s="19"/>
    </row>
    <row r="119" spans="1:9">
      <c r="A119" s="127"/>
      <c r="B119" s="22" t="s">
        <v>15</v>
      </c>
      <c r="C119" s="19"/>
      <c r="D119" s="19"/>
      <c r="E119" s="23"/>
      <c r="F119" s="23"/>
      <c r="G119" s="23"/>
      <c r="H119" s="23"/>
      <c r="I119" s="19"/>
    </row>
    <row r="120" spans="1:9">
      <c r="A120" s="127"/>
      <c r="B120" s="25" t="s">
        <v>17</v>
      </c>
      <c r="C120" s="19"/>
      <c r="D120" s="19"/>
      <c r="E120" s="23"/>
      <c r="F120" s="23"/>
      <c r="G120" s="23"/>
      <c r="H120" s="23"/>
      <c r="I120" s="19"/>
    </row>
    <row r="121" spans="1:9">
      <c r="A121" s="127"/>
      <c r="B121" s="153" t="s">
        <v>18</v>
      </c>
      <c r="C121" s="9" t="s">
        <v>116</v>
      </c>
      <c r="D121" s="9" t="s">
        <v>118</v>
      </c>
      <c r="E121" s="9" t="s">
        <v>120</v>
      </c>
      <c r="F121" s="9" t="s">
        <v>118</v>
      </c>
      <c r="G121" s="9" t="s">
        <v>118</v>
      </c>
      <c r="H121" s="9" t="s">
        <v>113</v>
      </c>
      <c r="I121" s="56" t="s">
        <v>113</v>
      </c>
    </row>
    <row r="122" spans="1:9">
      <c r="A122" s="127"/>
      <c r="B122" s="154"/>
      <c r="C122" s="9" t="s">
        <v>118</v>
      </c>
      <c r="D122" s="9" t="s">
        <v>114</v>
      </c>
      <c r="E122" s="9" t="s">
        <v>114</v>
      </c>
      <c r="F122" s="9" t="s">
        <v>114</v>
      </c>
      <c r="G122" s="9" t="s">
        <v>114</v>
      </c>
      <c r="H122" s="9" t="s">
        <v>118</v>
      </c>
      <c r="I122" s="9" t="s">
        <v>118</v>
      </c>
    </row>
    <row r="123" spans="1:9">
      <c r="A123" s="127"/>
      <c r="B123" s="154"/>
      <c r="C123" s="9" t="s">
        <v>114</v>
      </c>
      <c r="D123" s="9" t="s">
        <v>117</v>
      </c>
      <c r="E123" s="9" t="s">
        <v>117</v>
      </c>
      <c r="F123" s="9" t="s">
        <v>117</v>
      </c>
      <c r="G123" s="9" t="s">
        <v>117</v>
      </c>
      <c r="H123" s="9" t="s">
        <v>114</v>
      </c>
      <c r="I123" s="56" t="s">
        <v>114</v>
      </c>
    </row>
    <row r="124" spans="1:9">
      <c r="A124" s="127"/>
      <c r="B124" s="154"/>
      <c r="C124" s="10" t="s">
        <v>117</v>
      </c>
      <c r="D124" s="9"/>
      <c r="E124" s="9"/>
      <c r="F124" s="9"/>
      <c r="G124" s="9"/>
      <c r="H124" s="9" t="s">
        <v>117</v>
      </c>
      <c r="I124" s="9" t="s">
        <v>117</v>
      </c>
    </row>
    <row r="125" spans="1:9">
      <c r="A125" s="127"/>
      <c r="B125" s="155"/>
      <c r="C125" s="9"/>
      <c r="D125" s="9"/>
      <c r="E125" s="9"/>
      <c r="F125" s="9"/>
      <c r="G125" s="9"/>
      <c r="H125" s="9"/>
      <c r="I125" s="9"/>
    </row>
    <row r="126" spans="1:9">
      <c r="A126" s="127"/>
      <c r="B126" s="158" t="s">
        <v>12</v>
      </c>
      <c r="C126" s="18" t="s">
        <v>117</v>
      </c>
      <c r="D126" s="27"/>
      <c r="E126" s="27"/>
      <c r="F126" s="27"/>
      <c r="G126" s="19"/>
      <c r="H126" s="19"/>
      <c r="I126" s="18" t="s">
        <v>113</v>
      </c>
    </row>
    <row r="127" spans="1:9">
      <c r="A127" s="127"/>
      <c r="B127" s="159"/>
      <c r="C127" s="27"/>
      <c r="D127" s="27"/>
      <c r="E127" s="27"/>
      <c r="F127" s="27"/>
      <c r="G127" s="27"/>
      <c r="H127" s="29"/>
      <c r="I127" s="18" t="s">
        <v>114</v>
      </c>
    </row>
    <row r="128" spans="1:9">
      <c r="A128" s="127"/>
      <c r="B128" s="22" t="s">
        <v>15</v>
      </c>
      <c r="C128" s="19"/>
      <c r="D128" s="30"/>
      <c r="E128" s="27"/>
      <c r="F128" s="27"/>
      <c r="G128" s="27"/>
      <c r="H128" s="29"/>
      <c r="I128" s="19"/>
    </row>
    <row r="129" spans="1:15">
      <c r="A129" s="127"/>
      <c r="B129" s="25" t="s">
        <v>17</v>
      </c>
      <c r="C129" s="97" t="s">
        <v>116</v>
      </c>
      <c r="D129" s="97" t="s">
        <v>116</v>
      </c>
      <c r="E129" s="97" t="s">
        <v>116</v>
      </c>
      <c r="F129" s="97" t="s">
        <v>116</v>
      </c>
      <c r="G129" s="97" t="s">
        <v>116</v>
      </c>
      <c r="H129" s="97" t="s">
        <v>116</v>
      </c>
      <c r="I129" s="97" t="s">
        <v>116</v>
      </c>
    </row>
    <row r="130" spans="1:15">
      <c r="C130" s="15">
        <f t="shared" ref="C130:I130" si="5">COUNTA(C112:C116,C121:C125)</f>
        <v>7</v>
      </c>
      <c r="D130" s="15">
        <f t="shared" si="5"/>
        <v>8</v>
      </c>
      <c r="E130" s="15">
        <f t="shared" si="5"/>
        <v>8</v>
      </c>
      <c r="F130" s="15">
        <f t="shared" si="5"/>
        <v>8</v>
      </c>
      <c r="G130" s="15">
        <f t="shared" si="5"/>
        <v>8</v>
      </c>
      <c r="H130" s="15">
        <f t="shared" si="5"/>
        <v>8</v>
      </c>
      <c r="I130" s="15">
        <f t="shared" si="5"/>
        <v>8</v>
      </c>
    </row>
    <row r="131" spans="1:15">
      <c r="C131" s="15"/>
      <c r="D131" s="15"/>
      <c r="E131" s="15"/>
      <c r="F131" s="15"/>
      <c r="G131" s="15"/>
      <c r="H131" s="15"/>
      <c r="I131" s="15"/>
    </row>
    <row r="133" spans="1:15">
      <c r="D133" s="2"/>
      <c r="E133" s="2"/>
    </row>
    <row r="134" spans="1:15">
      <c r="C134" s="126" t="s">
        <v>27</v>
      </c>
      <c r="D134" s="126"/>
      <c r="E134" s="126"/>
      <c r="F134" s="126"/>
      <c r="G134" s="126"/>
      <c r="I134" s="126" t="s">
        <v>121</v>
      </c>
      <c r="J134" s="126"/>
      <c r="K134" s="126"/>
      <c r="L134" s="126"/>
      <c r="M134" s="126"/>
      <c r="N134" s="165" t="s">
        <v>122</v>
      </c>
      <c r="O134" s="165"/>
    </row>
    <row r="135" spans="1:15">
      <c r="D135" s="2" t="s">
        <v>29</v>
      </c>
      <c r="E135" s="2" t="s">
        <v>30</v>
      </c>
      <c r="F135" t="s">
        <v>31</v>
      </c>
      <c r="G135" t="s">
        <v>32</v>
      </c>
      <c r="I135" s="2" t="s">
        <v>29</v>
      </c>
      <c r="J135" s="2" t="s">
        <v>30</v>
      </c>
      <c r="K135" t="s">
        <v>31</v>
      </c>
      <c r="L135" t="s">
        <v>32</v>
      </c>
      <c r="M135" s="2"/>
      <c r="N135" s="93" t="s">
        <v>123</v>
      </c>
      <c r="O135" s="93" t="s">
        <v>124</v>
      </c>
    </row>
    <row r="136" spans="1:15">
      <c r="B136" t="s">
        <v>125</v>
      </c>
      <c r="C136" s="38" t="s">
        <v>116</v>
      </c>
      <c r="D136" s="39">
        <f>COUNTIF($C$8:$I$13,"Jeferson")-COUNTIF($C$14:$I$17,"Jeferson")+COUNTIF($C$30:$I$35,"Jeferson")-COUNTIF($C$36:$I$39,"Jeferson")+COUNTIF($C$51:$E$55,"Jeferson")-COUNTIF($C$56:$E$60,"Jeferson")</f>
        <v>6</v>
      </c>
      <c r="E136" s="39">
        <f>COUNTIF($C$18:$I$22,"Jeferson")-COUNTIF($C$23:$I$27,"Jeferson")+COUNTIF($C$40:$I$44,"Jeferson")-COUNTIF($C$45:$I$48,"Jeferson")+COUNTIF($C$61:$E$65,"Jeferson")-COUNTIF($C$66:$E$69,"Jeferson")</f>
        <v>5</v>
      </c>
      <c r="F136" s="39">
        <f>+COUNTIF($C$14:$I$17,"Jeferson")+COUNTIF($C$36:$I$39,"Jeferson")+COUNTIF($C$56:$E$60,"Jeferson")+COUNTIF($C$23:$I$27,"Jeferson")+COUNTIF($C$45:$I$48,"Jeferson")+COUNTIF($C$66:$E$69,"Jeferson")</f>
        <v>4</v>
      </c>
      <c r="G136" s="40">
        <f t="shared" ref="G136:G143" si="6">+F136+E136+D136</f>
        <v>15</v>
      </c>
      <c r="H136" s="38" t="s">
        <v>116</v>
      </c>
      <c r="I136" s="39">
        <f>COUNTIF($C$51:$I$55,"Jeferson")-COUNTIF($C$56:$I$60,"Jeferson")+COUNTIF($C$72:$I$76,"Jeferson")-COUNTIF($C$77:$I$80,"Jeferson")+COUNTIF($C$92:$D$96,"Jeferson")-COUNTIF($C$97:$D$100,"Jeferson")</f>
        <v>10</v>
      </c>
      <c r="J136" s="39">
        <f>COUNTIF($C$61:$I$65,"Jeferson")-COUNTIF($C$66:$I$69,"Jeferson")+COUNTIF($C$81:$I$85,"Jeferson")-COUNTIF($C$86:$I$89,"Jeferson")+COUNTIF($C$101:$D$105,"Jeferson")-COUNTIF($C$106:$D$109,"Jeferson")</f>
        <v>1</v>
      </c>
      <c r="K136" s="39">
        <f>COUNTIF($C$56:$I$60,"Jeferson")+COUNTIF($C$77:$I$80,"Jeferson")+COUNTIF($C$97:$D$100,"Jeferson")+COUNTIF($C$66:$I$69,"Jeferson")+COUNTIF($C$86:$I$89,"Jeferson")+COUNTIF($C$106:$D$109,"Jeferson")</f>
        <v>5</v>
      </c>
      <c r="L136" s="40">
        <f t="shared" ref="L136:L143" si="7">+K136+J136+I136</f>
        <v>16</v>
      </c>
      <c r="N136" s="93">
        <v>2</v>
      </c>
      <c r="O136" s="93">
        <v>1</v>
      </c>
    </row>
    <row r="137" spans="1:15">
      <c r="B137" t="s">
        <v>125</v>
      </c>
      <c r="C137" t="s">
        <v>118</v>
      </c>
      <c r="D137" s="39">
        <f>COUNTIF($C$8:$I$13,"Hector")-COUNTIF($C$14:$I$17,"Hector")+COUNTIF($C$30:$I$35,"Hector")-COUNTIF($C$36:$I$39,"Hector")+COUNTIF($C$51:$E$55,"Hector")-COUNTIF($C$56:$E$60,"Hector")</f>
        <v>0</v>
      </c>
      <c r="E137" s="39">
        <f>COUNTIF($C$18:$I$22,"Hector")-COUNTIF($C$23:$I$27,"Hector")+COUNTIF($C$40:$I$44,"Hector")-COUNTIF($C$45:$I$48,"Hector")+COUNTIF($C$61:$E$65,"Hector")-COUNTIF($C$66:$E$69,"Hector")</f>
        <v>12</v>
      </c>
      <c r="F137" s="39">
        <f>+COUNTIF($C$14:$I$17,"Hector")+COUNTIF($C$36:$I$39,"Hector")+COUNTIF($C$56:$E$60,"Hector")+COUNTIF($C$23:$I$27,"Hector")+COUNTIF($C$45:$I$48,"Hector")+COUNTIF($C$66:$E$69,"Hector")</f>
        <v>3</v>
      </c>
      <c r="G137" s="94">
        <f t="shared" si="6"/>
        <v>15</v>
      </c>
      <c r="H137" t="s">
        <v>118</v>
      </c>
      <c r="I137" s="39">
        <f>COUNTIF($C$51:$I$55,"Hector")-COUNTIF($C$56:$I$60,"Hector")+COUNTIF($C$72:$I$76,"Hector")-COUNTIF($C$77:$I$80,"Hector")+COUNTIF($C$92:$D$96,"Hector")-COUNTIF($C$97:$D$100,"Hector")</f>
        <v>0</v>
      </c>
      <c r="J137" s="39">
        <f>COUNTIF($C$61:$I$65,"Hector")-COUNTIF($C$66:$I$69,"Hector")+COUNTIF($C$81:$I$85,"Hector")-COUNTIF($C$86:$I$89,"Hector")+COUNTIF($C$101:$D$105,"Hector")-COUNTIF($C$106:$D$109,"Hector")</f>
        <v>13</v>
      </c>
      <c r="K137" s="39">
        <f>COUNTIF($C$56:$I$60,"Hector")+COUNTIF($C$77:$I$80,"Hector")+COUNTIF($C$97:$D$100,"Hector")+COUNTIF($C$66:$I$69,"Hector")+COUNTIF($C$86:$I$89,"Hector")+COUNTIF($C$106:$D$109,"Hector")</f>
        <v>3</v>
      </c>
      <c r="L137" s="40">
        <f t="shared" si="7"/>
        <v>16</v>
      </c>
      <c r="N137" s="93">
        <f>1</f>
        <v>1</v>
      </c>
      <c r="O137" s="93">
        <v>2</v>
      </c>
    </row>
    <row r="138" spans="1:15">
      <c r="B138" t="s">
        <v>125</v>
      </c>
      <c r="C138" s="38" t="s">
        <v>120</v>
      </c>
      <c r="D138" s="39">
        <f>COUNTIF($C$8:$I$13,"Milton")-COUNTIF($C$14:$I$17,"Milton")+COUNTIF($C$30:$I$35,"Milton")-COUNTIF($C$36:$I$39,"Milton")+COUNTIF($C$51:$E$55,"Milton")-COUNTIF($C$56:$E$60,"Milton")</f>
        <v>11</v>
      </c>
      <c r="E138" s="39">
        <f>COUNTIF($C$18:$I$22,"Milton")-COUNTIF($C$23:$I$27,"Milton")+COUNTIF($C$40:$I$44,"Milton")-COUNTIF($C$45:$I$48,"Milton")+COUNTIF($C$61:$E$65,"Milton")-COUNTIF($C$66:$E$69,"Milton")</f>
        <v>2</v>
      </c>
      <c r="F138" s="39">
        <f>+COUNTIF($C$14:$I$17,"Milton")+COUNTIF($C$36:$I$39,"Milton")+COUNTIF($C$56:$E$60,"Milton")+COUNTIF($C$23:$I$27,"Milton")+COUNTIF($C$45:$I$48,"Milton")+COUNTIF($C$66:$E$69,"Milton")</f>
        <v>2</v>
      </c>
      <c r="G138" s="40">
        <f t="shared" si="6"/>
        <v>15</v>
      </c>
      <c r="H138" s="38" t="s">
        <v>120</v>
      </c>
      <c r="I138" s="39">
        <f>COUNTIF($C$51:$I$55,"Milton")-COUNTIF($C$56:$I$60,"Milton")+COUNTIF($C$72:$I$76,"Milton")-COUNTIF($C$77:$I$80,"Milton")+COUNTIF($C$92:$D$96,"Milton")-COUNTIF($C$97:$D$100,"Milton")</f>
        <v>12</v>
      </c>
      <c r="J138" s="39">
        <f>COUNTIF($C$61:$I$65,"Milton")-COUNTIF($C$66:$I$69,"Milton")+COUNTIF($C$81:$I$85,"Milton")-COUNTIF($C$86:$I$89,"Milton")+COUNTIF($C$101:$D$105,"Milton")-COUNTIF($C$106:$D$109,"Milton")</f>
        <v>2</v>
      </c>
      <c r="K138" s="39">
        <f>COUNTIF($C$56:$I$60,"Milton")+COUNTIF($C$77:$I$80,"Milton")+COUNTIF($C$97:$D$100,"Milton")+COUNTIF($C$66:$I$69,"Milton")+COUNTIF($C$86:$I$89,"Milton")+COUNTIF($C$106:$D$109,"Milton")</f>
        <v>2</v>
      </c>
      <c r="L138" s="40">
        <f t="shared" si="7"/>
        <v>16</v>
      </c>
      <c r="N138" s="93">
        <v>3</v>
      </c>
      <c r="O138" s="93"/>
    </row>
    <row r="139" spans="1:15">
      <c r="B139" t="s">
        <v>125</v>
      </c>
      <c r="C139" t="s">
        <v>115</v>
      </c>
      <c r="D139" s="39">
        <f>COUNTIF($C$8:$I$13,"candido")-COUNTIF($C$14:$I$17,"candido")+COUNTIF($C$30:$I$35,"candido")-COUNTIF($C$36:$I$39,"candido")+COUNTIF($C$51:$E$55,"candido")-COUNTIF($C$56:$E$60,"candido")</f>
        <v>9</v>
      </c>
      <c r="E139" s="39">
        <f>COUNTIF($C$18:$I$22,"candido")-COUNTIF($C$23:$I$27,"candido")+COUNTIF($C$40:$I$44,"candido")-COUNTIF($C$45:$I$48,"candido")+COUNTIF($C$61:$E$65,"candido")-COUNTIF($C$66:$E$69,"candido")</f>
        <v>3</v>
      </c>
      <c r="F139" s="39">
        <f>+COUNTIF($C$14:$I$17,"candido")+COUNTIF($C$36:$I$39,"candido")+COUNTIF($C$56:$E$60,"candido")+COUNTIF($C$23:$I$27,"candido")+COUNTIF($C$45:$I$48,"candido")+COUNTIF($C$66:$E$69,"candido")</f>
        <v>4</v>
      </c>
      <c r="G139" s="40">
        <f t="shared" si="6"/>
        <v>16</v>
      </c>
      <c r="H139" t="s">
        <v>115</v>
      </c>
      <c r="I139" s="39">
        <f>COUNTIF($C$51:$I$55,"Candido")-COUNTIF($C$56:$I$60,"Candido")+COUNTIF($C$72:$I$76,"Candido")-COUNTIF($C$77:$I$80,"Candido")+COUNTIF($C$92:$D$96,"Candido")-COUNTIF($C$97:$D$100,"Candido")</f>
        <v>13</v>
      </c>
      <c r="J139" s="39">
        <f>COUNTIF($C$61:$I$65,"Candido")-COUNTIF($C$66:$I$69,"Candido")+COUNTIF($C$81:$I$85,"Candido")-COUNTIF($C$86:$I$89,"Candido")+COUNTIF($C$101:$D$105,"Candido")-COUNTIF($C$106:$D$109,"Candido")</f>
        <v>0</v>
      </c>
      <c r="K139" s="39">
        <f>COUNTIF($C$56:$I$60,"Candido")+COUNTIF($C$77:$I$80,"Candido")+COUNTIF($C$97:$D$100,"Candido")+COUNTIF($C$66:$I$69,"Candido")+COUNTIF($C$86:$I$89,"Candido")+COUNTIF($C$106:$D$109,"Candido")</f>
        <v>3</v>
      </c>
      <c r="L139" s="40">
        <f t="shared" si="7"/>
        <v>16</v>
      </c>
      <c r="N139" s="93">
        <v>2</v>
      </c>
      <c r="O139" s="93">
        <v>1</v>
      </c>
    </row>
    <row r="140" spans="1:15">
      <c r="C140" s="38" t="s">
        <v>113</v>
      </c>
      <c r="D140" s="95">
        <f>COUNTIF($C$8:$I$13,"roy")-COUNTIF($C$14:$I$17,"roy")+COUNTIF($C$30:$I$35,"roy")-COUNTIF($C$36:$I$39,"roy")+COUNTIF($C$51:$E$55,"roy")-COUNTIF($C$56:$E$60,"roy")</f>
        <v>11</v>
      </c>
      <c r="E140" s="95">
        <f>COUNTIF($C$18:$I$22,"roy")-COUNTIF($C$23:$I$27,"roy")+COUNTIF($C$40:$I$44,"roy")-COUNTIF($C$45:$I$48,"roy")+COUNTIF($C$61:$E$65,"roy")-COUNTIF($C$66:$E$69,"roy")</f>
        <v>2</v>
      </c>
      <c r="F140" s="95">
        <f>+COUNTIF($C$14:$I$17,"roy")+COUNTIF($C$36:$I$39,"roy")+COUNTIF($C$56:$E$60,"roy")+COUNTIF($C$23:$I$27,"roy")+COUNTIF($C$45:$I$48,"roy")+COUNTIF($C$66:$E$69,"roy")</f>
        <v>2</v>
      </c>
      <c r="G140" s="94">
        <f t="shared" si="6"/>
        <v>15</v>
      </c>
      <c r="H140" s="38" t="s">
        <v>113</v>
      </c>
      <c r="I140" s="39">
        <f>COUNTIF($C$51:$I$55,"Roy")-COUNTIF($C$56:$I$60,"Roy")+COUNTIF($C$72:$I$76,"Roy")-COUNTIF($C$77:$I$80,"Roy")+COUNTIF($C$92:$D$96,"Roy")-COUNTIF($C$97:$D$100,"Roy")</f>
        <v>12</v>
      </c>
      <c r="J140" s="39">
        <f>COUNTIF($C$61:$I$65,"Roy")-COUNTIF($C$66:$I$69,"Roy")+COUNTIF($C$81:$I$85,"Roy")-COUNTIF($C$86:$I$89,"Roy")+COUNTIF($C$101:$D$105,"Roy")-COUNTIF($C$106:$D$109,"Roy")</f>
        <v>3</v>
      </c>
      <c r="K140" s="39">
        <f>COUNTIF($C$56:$I$60,"Roy")+COUNTIF($C$77:$I$80,"Roy")+COUNTIF($C$97:$D$100,"Roy")+COUNTIF($C$66:$I$69,"Roy")+COUNTIF($C$86:$I$89,"Roy")+COUNTIF($C$106:$D$109,"Roy")</f>
        <v>2</v>
      </c>
      <c r="L140" s="40">
        <f t="shared" si="7"/>
        <v>17</v>
      </c>
      <c r="N140" s="93">
        <v>2</v>
      </c>
      <c r="O140" s="93">
        <v>1</v>
      </c>
    </row>
    <row r="141" spans="1:15">
      <c r="B141" t="s">
        <v>125</v>
      </c>
      <c r="C141" t="s">
        <v>114</v>
      </c>
      <c r="D141" s="39">
        <f>COUNTIF($C$8:$I$13,"saudy")-COUNTIF($C$14:$I$17,"saudy")+COUNTIF($C$30:$I$35,"saudy")-COUNTIF($C$36:$I$39,"saudy")+COUNTIF($C$51:$E$55,"saudy")-COUNTIF($C$56:$E$60,"saudy")</f>
        <v>4</v>
      </c>
      <c r="E141" s="39">
        <f>COUNTIF($C$18:$I$22,"saudy")-COUNTIF($C$23:$I$27,"saudy")+COUNTIF($C$40:$I$44,"saudy")-COUNTIF($C$45:$I$48,"saudy")+COUNTIF($C$61:$E$65,"saudy")-COUNTIF($C$66:$E$69,"saudy")</f>
        <v>8</v>
      </c>
      <c r="F141" s="39">
        <f>+COUNTIF($C$14:$I$17,"saudy")+COUNTIF($C$36:$I$39,"saudy")+COUNTIF($C$56:$E$60,"saudy")+COUNTIF($C$23:$I$27,"saudy")+COUNTIF($C$45:$I$48,"saudy")+COUNTIF($C$66:$E$69,"saudy")</f>
        <v>3</v>
      </c>
      <c r="G141" s="40">
        <f t="shared" si="6"/>
        <v>15</v>
      </c>
      <c r="H141" t="s">
        <v>114</v>
      </c>
      <c r="I141" s="39">
        <f>COUNTIF($C$51:$I$55,"Saudy")-COUNTIF($C$56:$I$60,"Saudy")+COUNTIF($C$72:$I$76,"Saudy")-COUNTIF($C$77:$I$80,"Saudy")+COUNTIF($C$92:$D$96,"Saudy")-COUNTIF($C$97:$D$100,"Saudy")</f>
        <v>0</v>
      </c>
      <c r="J141" s="39">
        <f>COUNTIF($C$61:$I$65,"Saudy")-COUNTIF($C$66:$I$69,"Saudy")+COUNTIF($C$81:$I$85,"Saudy")-COUNTIF($C$86:$I$89,"Saudy")+COUNTIF($C$101:$D$105,"Saudy")-COUNTIF($C$106:$D$109,"Saudy")</f>
        <v>14</v>
      </c>
      <c r="K141" s="39">
        <f>COUNTIF($C$56:$I$60,"Saudy")+COUNTIF($C$77:$I$80,"Saudy")+COUNTIF($C$97:$D$100,"Saudy")+COUNTIF($C$66:$I$69,"Saudy")+COUNTIF($C$86:$I$89,"Saudy")+COUNTIF($C$106:$D$109,"Saudy")</f>
        <v>2</v>
      </c>
      <c r="L141" s="40">
        <f t="shared" si="7"/>
        <v>16</v>
      </c>
      <c r="N141" s="93">
        <v>3</v>
      </c>
      <c r="O141" s="93"/>
    </row>
    <row r="142" spans="1:15">
      <c r="B142" t="s">
        <v>125</v>
      </c>
      <c r="C142" s="38" t="s">
        <v>117</v>
      </c>
      <c r="D142" s="39">
        <f>COUNTIF($C$8:$I$13,"Evin")-COUNTIF($C$14:$I$17,"Evin")+COUNTIF($C$30:$I$35,"Evin")-COUNTIF($C$36:$I$39,"Evin")+COUNTIF($C$51:$E$55,"Evin")-COUNTIF($C$56:$E$60,"Evin")</f>
        <v>3</v>
      </c>
      <c r="E142" s="39">
        <f>COUNTIF($C$18:$I$22,"Evin")-COUNTIF($C$23:$I$27,"Evin")+COUNTIF($C$40:$I$44,"Evin")-COUNTIF($C$45:$I$48,"Evin")+COUNTIF($C$61:$E$65,"Evin")-COUNTIF($C$66:$E$69,"Evin")</f>
        <v>9</v>
      </c>
      <c r="F142" s="39">
        <f>+COUNTIF($C$14:$I$17,"Evin")+COUNTIF($C$36:$I$39,"Evin")+COUNTIF($C$56:$E$60,"Evin")+COUNTIF($C$23:$I$27,"Evin")+COUNTIF($C$45:$I$48,"Evin")+COUNTIF($C$66:$E$69,"Evin")</f>
        <v>3</v>
      </c>
      <c r="G142" s="40">
        <f t="shared" si="6"/>
        <v>15</v>
      </c>
      <c r="H142" s="38" t="s">
        <v>117</v>
      </c>
      <c r="I142" s="39">
        <f>COUNTIF($C$51:$I$55,"Evin")-COUNTIF($C$56:$I$60,"Evin")+COUNTIF($C$72:$I$76,"Evin")-COUNTIF($C$77:$I$80,"Evin")+COUNTIF($C$92:$D$96,"Evin")-COUNTIF($C$97:$D$100,"Evin")</f>
        <v>0</v>
      </c>
      <c r="J142" s="39">
        <f>COUNTIF($C$61:$I$65,"Evin")-COUNTIF($C$66:$I$69,"Evin")+COUNTIF($C$81:$I$85,"Evin")-COUNTIF($C$86:$I$89,"Evin")+COUNTIF($C$101:$D$105,"Evin")-COUNTIF($C$106:$D$109,"Evin")</f>
        <v>12</v>
      </c>
      <c r="K142" s="39">
        <f>COUNTIF($C$56:$I$60,"Evin")+COUNTIF($C$77:$I$80,"Evin")+COUNTIF($C$97:$D$100,"Evin")+COUNTIF($C$66:$I$69,"Evin")+COUNTIF($C$86:$I$89,"Evin")+COUNTIF($C$106:$D$109,"Evin")</f>
        <v>4</v>
      </c>
      <c r="L142" s="40">
        <f t="shared" si="7"/>
        <v>16</v>
      </c>
      <c r="N142" s="93">
        <v>3</v>
      </c>
      <c r="O142" s="93"/>
    </row>
    <row r="143" spans="1:15">
      <c r="C143" t="s">
        <v>14</v>
      </c>
      <c r="D143" s="39">
        <f>COUNTIF($C$8:$I$13,"Lester")-COUNTIF($C$14:$I$17,"Lester")+COUNTIF($C$30:$I$35,"Lester")-COUNTIF($C$36:$I$39,"Lester")+COUNTIF($C$51:$E$55,"Lester")-COUNTIF($C$56:$E$60,"Lester")</f>
        <v>0</v>
      </c>
      <c r="E143" s="39">
        <f>COUNTIF($C$18:$I$22,"Lester")-COUNTIF($C$23:$I$27,"Lester")+COUNTIF($C$40:$I$44,"Lester")-COUNTIF($C$45:$I$48,"Lester")+COUNTIF($C$61:$E$65,"Lester")-COUNTIF($C$66:$E$69,"Lester")</f>
        <v>0</v>
      </c>
      <c r="F143" s="39">
        <f>+COUNTIF($C$14:$I$17,"Lester")+COUNTIF($C$36:$I$39,"Lester")+COUNTIF($C$56:$E$60,"Lester")+COUNTIF($C$23:$I$27,"Lester")+COUNTIF($C$45:$I$48,"Lester")+COUNTIF($C$66:$E$69,"Lester")</f>
        <v>0</v>
      </c>
      <c r="G143" s="40">
        <f t="shared" si="6"/>
        <v>0</v>
      </c>
      <c r="H143" t="s">
        <v>14</v>
      </c>
      <c r="I143" s="39">
        <f>COUNTIF($C$51:$I$55,"Lester")-COUNTIF($C$56:$I$60,"Lester")+COUNTIF($C$72:$I$76,"Lester")-COUNTIF($C$77:$I$80,"Lester")+COUNTIF($C$92:$D$96,"Lester")-COUNTIF($C$97:$D$100,"Lester")</f>
        <v>0</v>
      </c>
      <c r="J143" s="39">
        <f>COUNTIF($C$61:$I$65,"Lester")-COUNTIF($C$66:$I$69,"Lester")+COUNTIF($C$81:$I$85,"Lester")-COUNTIF($C$86:$I$89,"Lester")+COUNTIF($C$101:$D$105,"Lester")-COUNTIF($C$106:$D$109,"Lester")</f>
        <v>1</v>
      </c>
      <c r="K143" s="39">
        <f>COUNTIF($C$56:$I$60,"Lester")+COUNTIF($C$77:$I$80,"Lester")+COUNTIF($C$97:$D$100,"Lester")+COUNTIF($C$66:$I$69,"Lester")+COUNTIF($C$86:$I$89,"Lester")+COUNTIF($C$106:$D$109,"Lester")</f>
        <v>1</v>
      </c>
      <c r="L143" s="40">
        <f t="shared" si="7"/>
        <v>2</v>
      </c>
      <c r="N143" s="93">
        <v>3</v>
      </c>
      <c r="O143" s="93"/>
    </row>
    <row r="144" spans="1:15">
      <c r="D144" s="93">
        <f>SUM(D136:D143)</f>
        <v>44</v>
      </c>
      <c r="E144" s="93">
        <f t="shared" ref="E144:G144" si="8">SUM(E136:E143)</f>
        <v>41</v>
      </c>
      <c r="F144" s="93">
        <f t="shared" si="8"/>
        <v>21</v>
      </c>
      <c r="G144" s="93">
        <f t="shared" si="8"/>
        <v>106</v>
      </c>
      <c r="I144" s="93">
        <f>SUM(I136:I143)</f>
        <v>47</v>
      </c>
      <c r="J144" s="93">
        <f t="shared" ref="J144:L144" si="9">SUM(J136:J143)</f>
        <v>46</v>
      </c>
      <c r="K144" s="93">
        <f t="shared" si="9"/>
        <v>22</v>
      </c>
      <c r="L144" s="93">
        <f t="shared" si="9"/>
        <v>115</v>
      </c>
    </row>
    <row r="148" spans="3:5">
      <c r="C148" t="s">
        <v>36</v>
      </c>
      <c r="E148">
        <f>+F144+K144</f>
        <v>43</v>
      </c>
    </row>
    <row r="150" spans="3:5">
      <c r="C150" t="s">
        <v>37</v>
      </c>
      <c r="E150">
        <f>7*31</f>
        <v>217</v>
      </c>
    </row>
  </sheetData>
  <mergeCells count="35">
    <mergeCell ref="B106:B107"/>
    <mergeCell ref="C134:G134"/>
    <mergeCell ref="I134:M134"/>
    <mergeCell ref="N134:O134"/>
    <mergeCell ref="A111:A129"/>
    <mergeCell ref="B112:B116"/>
    <mergeCell ref="B117:B118"/>
    <mergeCell ref="B121:B125"/>
    <mergeCell ref="B126:B127"/>
    <mergeCell ref="A91:A109"/>
    <mergeCell ref="B92:B96"/>
    <mergeCell ref="B97:B98"/>
    <mergeCell ref="B101:B105"/>
    <mergeCell ref="A50:A69"/>
    <mergeCell ref="B51:B55"/>
    <mergeCell ref="B61:B65"/>
    <mergeCell ref="B66:B67"/>
    <mergeCell ref="A71:A89"/>
    <mergeCell ref="B72:B76"/>
    <mergeCell ref="B77:B78"/>
    <mergeCell ref="B81:B85"/>
    <mergeCell ref="B56:B57"/>
    <mergeCell ref="B86:B87"/>
    <mergeCell ref="A29:A48"/>
    <mergeCell ref="B30:B35"/>
    <mergeCell ref="B36:B37"/>
    <mergeCell ref="B40:B44"/>
    <mergeCell ref="B45:B46"/>
    <mergeCell ref="B2:I2"/>
    <mergeCell ref="B3:I3"/>
    <mergeCell ref="A7:A27"/>
    <mergeCell ref="B8:B13"/>
    <mergeCell ref="B14:B15"/>
    <mergeCell ref="B18:B22"/>
    <mergeCell ref="B23:B24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7349-D6BB-954D-9899-C2B2DEFD87BE}">
  <dimension ref="A1:X72"/>
  <sheetViews>
    <sheetView showGridLines="0" workbookViewId="0">
      <selection activeCell="J9" sqref="J9"/>
    </sheetView>
  </sheetViews>
  <sheetFormatPr baseColWidth="10" defaultColWidth="9.125" defaultRowHeight="24"/>
  <cols>
    <col min="1" max="1" width="7" bestFit="1" customWidth="1"/>
    <col min="2" max="2" width="7" style="69" bestFit="1" customWidth="1"/>
    <col min="3" max="3" width="11" bestFit="1" customWidth="1"/>
    <col min="4" max="4" width="16.125" style="50" customWidth="1"/>
    <col min="5" max="5" width="15.375" style="50" customWidth="1"/>
    <col min="6" max="6" width="14.875" style="50" customWidth="1"/>
    <col min="7" max="8" width="16" style="50" customWidth="1"/>
    <col min="9" max="10" width="15.625" style="50" bestFit="1" customWidth="1"/>
    <col min="11" max="11" width="5.5" customWidth="1"/>
    <col min="12" max="12" width="81.625" bestFit="1" customWidth="1"/>
    <col min="13" max="13" width="7" bestFit="1" customWidth="1"/>
    <col min="14" max="14" width="11.625" bestFit="1" customWidth="1"/>
    <col min="15" max="15" width="14.5" style="50" customWidth="1"/>
    <col min="16" max="16" width="13.125" style="50" customWidth="1"/>
    <col min="17" max="17" width="12" style="50" bestFit="1" customWidth="1"/>
    <col min="18" max="18" width="12.625" style="50" bestFit="1" customWidth="1"/>
    <col min="19" max="19" width="13" style="50" bestFit="1" customWidth="1"/>
    <col min="20" max="21" width="14.375" style="50" bestFit="1" customWidth="1"/>
  </cols>
  <sheetData>
    <row r="1" spans="1:24" ht="15.75" customHeight="1"/>
    <row r="2" spans="1:24" ht="22.5" customHeight="1">
      <c r="C2" s="141" t="s">
        <v>0</v>
      </c>
      <c r="D2" s="141"/>
      <c r="E2" s="141"/>
      <c r="F2" s="141"/>
      <c r="G2" s="141"/>
      <c r="H2" s="141"/>
      <c r="I2" s="141"/>
      <c r="J2" s="141"/>
    </row>
    <row r="3" spans="1:24" ht="19.5" customHeight="1">
      <c r="C3" s="142" t="s">
        <v>38</v>
      </c>
      <c r="D3" s="142"/>
      <c r="E3" s="142"/>
      <c r="F3" s="142"/>
      <c r="G3" s="142"/>
      <c r="H3" s="142"/>
      <c r="I3" s="142"/>
      <c r="J3" s="142"/>
    </row>
    <row r="4" spans="1:24" ht="15.75" customHeight="1"/>
    <row r="5" spans="1:24" ht="15.75" customHeight="1">
      <c r="C5" s="3" t="s">
        <v>52</v>
      </c>
    </row>
    <row r="6" spans="1:24">
      <c r="A6" s="82"/>
      <c r="D6" s="54"/>
      <c r="E6" s="54"/>
      <c r="F6" s="54"/>
      <c r="G6" s="54"/>
      <c r="H6" s="54"/>
      <c r="I6" s="54"/>
      <c r="J6" s="54"/>
      <c r="L6" s="82"/>
      <c r="M6" s="82"/>
      <c r="O6" s="54"/>
      <c r="P6" s="54"/>
      <c r="Q6" s="54"/>
      <c r="R6" s="54"/>
      <c r="S6" s="54"/>
      <c r="T6" s="54"/>
      <c r="U6" s="54"/>
    </row>
    <row r="7" spans="1:24" ht="24" customHeight="1">
      <c r="A7" s="163" t="s">
        <v>2</v>
      </c>
      <c r="B7" s="164" t="s">
        <v>127</v>
      </c>
      <c r="C7" s="72" t="s">
        <v>3</v>
      </c>
      <c r="D7" s="6" t="s">
        <v>49</v>
      </c>
      <c r="E7" s="6" t="s">
        <v>48</v>
      </c>
      <c r="F7" s="6" t="s">
        <v>47</v>
      </c>
      <c r="G7" s="6" t="s">
        <v>50</v>
      </c>
      <c r="H7" s="6" t="s">
        <v>51</v>
      </c>
      <c r="I7" s="6" t="s">
        <v>82</v>
      </c>
      <c r="J7" s="6" t="s">
        <v>83</v>
      </c>
      <c r="M7" s="51"/>
      <c r="N7" s="73">
        <v>25</v>
      </c>
      <c r="O7" s="74">
        <v>1</v>
      </c>
      <c r="P7" s="74"/>
    </row>
    <row r="8" spans="1:24" ht="12.75" customHeight="1">
      <c r="A8" s="163"/>
      <c r="B8" s="164"/>
      <c r="C8" s="72" t="s">
        <v>5</v>
      </c>
      <c r="D8" s="45" t="s">
        <v>128</v>
      </c>
      <c r="E8" s="45" t="s">
        <v>128</v>
      </c>
      <c r="F8" s="45" t="s">
        <v>128</v>
      </c>
      <c r="G8" s="45" t="s">
        <v>128</v>
      </c>
      <c r="H8" s="45" t="s">
        <v>128</v>
      </c>
      <c r="I8" s="45" t="s">
        <v>129</v>
      </c>
      <c r="J8" s="45" t="s">
        <v>129</v>
      </c>
      <c r="M8" s="54" t="s">
        <v>128</v>
      </c>
      <c r="N8">
        <v>16</v>
      </c>
      <c r="O8" s="50">
        <v>17</v>
      </c>
      <c r="X8" s="98" t="s">
        <v>130</v>
      </c>
    </row>
    <row r="9" spans="1:24" ht="15.75">
      <c r="A9" s="163"/>
      <c r="B9" s="164"/>
      <c r="C9" s="72" t="s">
        <v>66</v>
      </c>
      <c r="D9" s="10" t="s">
        <v>119</v>
      </c>
      <c r="E9" s="45"/>
      <c r="F9" s="56" t="s">
        <v>119</v>
      </c>
      <c r="G9" s="45"/>
      <c r="H9" s="56" t="s">
        <v>119</v>
      </c>
      <c r="I9" s="56" t="s">
        <v>119</v>
      </c>
      <c r="J9" s="56" t="s">
        <v>119</v>
      </c>
      <c r="M9" t="s">
        <v>129</v>
      </c>
      <c r="N9" s="99" t="s">
        <v>131</v>
      </c>
      <c r="O9" s="100" t="s">
        <v>132</v>
      </c>
      <c r="X9" t="s">
        <v>133</v>
      </c>
    </row>
    <row r="10" spans="1:24" ht="15.75">
      <c r="A10" s="163"/>
      <c r="B10" s="164"/>
      <c r="C10" s="76" t="s">
        <v>12</v>
      </c>
      <c r="D10" s="53" t="s">
        <v>128</v>
      </c>
      <c r="E10" s="101"/>
      <c r="F10" s="101"/>
      <c r="G10" s="101"/>
      <c r="H10" s="101"/>
      <c r="I10" s="101"/>
      <c r="J10" s="53" t="s">
        <v>119</v>
      </c>
      <c r="M10" t="s">
        <v>119</v>
      </c>
      <c r="N10">
        <v>31</v>
      </c>
      <c r="X10" t="s">
        <v>134</v>
      </c>
    </row>
    <row r="11" spans="1:24" ht="24.75" customHeight="1">
      <c r="A11" s="163"/>
      <c r="B11" s="164"/>
      <c r="C11" s="77" t="s">
        <v>15</v>
      </c>
      <c r="D11" s="101"/>
      <c r="E11" s="101"/>
      <c r="F11" s="101"/>
      <c r="G11" s="101"/>
      <c r="H11" s="101"/>
      <c r="I11" s="101"/>
      <c r="J11" s="101"/>
    </row>
    <row r="12" spans="1:24" ht="15.75">
      <c r="A12" s="163"/>
      <c r="B12" s="164"/>
      <c r="C12" s="78" t="s">
        <v>17</v>
      </c>
      <c r="D12" s="101"/>
      <c r="E12" s="101"/>
      <c r="F12" s="101"/>
      <c r="G12" s="101"/>
      <c r="H12" s="101"/>
      <c r="I12" s="101"/>
      <c r="J12" s="101"/>
    </row>
    <row r="13" spans="1:24" ht="33" customHeight="1">
      <c r="A13" s="163"/>
      <c r="B13" s="164"/>
      <c r="C13" s="72" t="s">
        <v>18</v>
      </c>
      <c r="D13" s="45" t="s">
        <v>129</v>
      </c>
      <c r="E13" s="45" t="s">
        <v>129</v>
      </c>
      <c r="F13" s="45" t="s">
        <v>129</v>
      </c>
      <c r="G13" s="45" t="s">
        <v>129</v>
      </c>
      <c r="H13" s="10" t="s">
        <v>129</v>
      </c>
      <c r="I13" s="56" t="s">
        <v>128</v>
      </c>
      <c r="J13" s="45" t="s">
        <v>128</v>
      </c>
      <c r="M13" s="54" t="s">
        <v>135</v>
      </c>
    </row>
    <row r="14" spans="1:24" s="109" customFormat="1" ht="15.75">
      <c r="A14" s="163"/>
      <c r="B14" s="164"/>
      <c r="C14" s="108"/>
      <c r="D14" s="59"/>
      <c r="E14" s="59"/>
      <c r="F14" s="59"/>
      <c r="G14" s="59"/>
      <c r="H14" s="59" t="s">
        <v>119</v>
      </c>
      <c r="I14" s="63" t="s">
        <v>119</v>
      </c>
      <c r="J14" s="63"/>
      <c r="M14" s="110"/>
      <c r="O14" s="111"/>
      <c r="P14" s="111"/>
      <c r="Q14" s="111"/>
      <c r="R14" s="111"/>
      <c r="S14" s="111"/>
      <c r="T14" s="111"/>
      <c r="U14" s="111"/>
    </row>
    <row r="15" spans="1:24" ht="15.75">
      <c r="A15" s="163"/>
      <c r="B15" s="164"/>
      <c r="C15" s="76" t="s">
        <v>12</v>
      </c>
      <c r="D15" s="103"/>
      <c r="E15" s="103"/>
      <c r="F15" s="103"/>
      <c r="G15" s="103"/>
      <c r="H15" s="52" t="s">
        <v>129</v>
      </c>
      <c r="I15" s="52" t="s">
        <v>128</v>
      </c>
      <c r="J15" s="103"/>
    </row>
    <row r="16" spans="1:24" ht="15.75">
      <c r="A16" s="163"/>
      <c r="B16" s="164"/>
      <c r="C16" s="77" t="s">
        <v>15</v>
      </c>
      <c r="D16" s="104"/>
      <c r="E16" s="103"/>
      <c r="F16" s="103"/>
      <c r="G16" s="103"/>
      <c r="H16" s="103"/>
      <c r="I16" s="103"/>
      <c r="J16" s="103"/>
      <c r="M16" s="54" t="s">
        <v>128</v>
      </c>
      <c r="N16" s="42">
        <v>46065</v>
      </c>
      <c r="O16" s="105">
        <v>46072</v>
      </c>
      <c r="P16" s="105">
        <v>46079</v>
      </c>
    </row>
    <row r="17" spans="1:16" ht="15" customHeight="1">
      <c r="A17" s="163"/>
      <c r="C17" s="78" t="s">
        <v>17</v>
      </c>
      <c r="D17" s="104"/>
      <c r="E17" s="103"/>
      <c r="F17" s="103"/>
      <c r="G17" s="103"/>
      <c r="H17" s="103"/>
      <c r="I17" s="103"/>
      <c r="J17" s="103"/>
      <c r="M17" t="s">
        <v>129</v>
      </c>
      <c r="N17" s="42">
        <v>46066</v>
      </c>
      <c r="O17" s="105">
        <v>46073</v>
      </c>
      <c r="P17" s="105">
        <v>46080</v>
      </c>
    </row>
    <row r="18" spans="1:16" ht="15.75" customHeight="1">
      <c r="D18" s="51"/>
      <c r="E18" s="51"/>
      <c r="F18" s="51"/>
      <c r="G18" s="51"/>
      <c r="H18" s="51"/>
      <c r="I18" s="51"/>
      <c r="J18" s="51"/>
      <c r="M18" t="s">
        <v>119</v>
      </c>
    </row>
    <row r="19" spans="1:16" ht="24" customHeight="1">
      <c r="A19" s="163" t="s">
        <v>19</v>
      </c>
      <c r="B19" s="164" t="s">
        <v>127</v>
      </c>
      <c r="C19" s="72" t="s">
        <v>3</v>
      </c>
      <c r="D19" s="6" t="s">
        <v>84</v>
      </c>
      <c r="E19" s="6" t="s">
        <v>85</v>
      </c>
      <c r="F19" s="6" t="s">
        <v>86</v>
      </c>
      <c r="G19" s="6" t="s">
        <v>87</v>
      </c>
      <c r="H19" s="6" t="s">
        <v>88</v>
      </c>
      <c r="I19" s="6" t="s">
        <v>89</v>
      </c>
      <c r="J19" s="6" t="s">
        <v>90</v>
      </c>
    </row>
    <row r="20" spans="1:16" ht="15" customHeight="1">
      <c r="A20" s="163"/>
      <c r="B20" s="164"/>
      <c r="C20" s="72" t="s">
        <v>5</v>
      </c>
      <c r="D20" s="45" t="s">
        <v>129</v>
      </c>
      <c r="E20" s="45" t="s">
        <v>129</v>
      </c>
      <c r="F20" s="45" t="s">
        <v>129</v>
      </c>
      <c r="G20" s="45" t="s">
        <v>129</v>
      </c>
      <c r="H20" s="56" t="s">
        <v>129</v>
      </c>
      <c r="I20" s="9" t="s">
        <v>129</v>
      </c>
      <c r="J20" s="45" t="s">
        <v>129</v>
      </c>
    </row>
    <row r="21" spans="1:16" ht="14.25" customHeight="1">
      <c r="A21" s="163"/>
      <c r="B21" s="164"/>
      <c r="C21" s="72" t="s">
        <v>66</v>
      </c>
      <c r="D21" s="45"/>
      <c r="E21" s="45"/>
      <c r="F21" s="45"/>
      <c r="G21" s="45"/>
      <c r="H21" s="45" t="s">
        <v>119</v>
      </c>
      <c r="I21" s="56" t="s">
        <v>119</v>
      </c>
      <c r="J21" s="10" t="s">
        <v>137</v>
      </c>
    </row>
    <row r="22" spans="1:16" ht="14.25" customHeight="1">
      <c r="A22" s="163"/>
      <c r="B22" s="164"/>
      <c r="C22" s="76" t="s">
        <v>12</v>
      </c>
      <c r="D22" s="101"/>
      <c r="E22" s="101"/>
      <c r="F22" s="101"/>
      <c r="G22" s="101"/>
      <c r="H22" s="52" t="s">
        <v>129</v>
      </c>
      <c r="I22" s="101"/>
      <c r="J22" s="53" t="s">
        <v>119</v>
      </c>
    </row>
    <row r="23" spans="1:16" ht="14.25" customHeight="1">
      <c r="A23" s="163"/>
      <c r="B23" s="164"/>
      <c r="C23" s="77" t="s">
        <v>15</v>
      </c>
      <c r="D23" s="101"/>
      <c r="E23" s="101"/>
      <c r="F23" s="101"/>
      <c r="G23" s="101"/>
      <c r="H23" s="101"/>
      <c r="I23" s="101"/>
      <c r="J23" s="101"/>
    </row>
    <row r="24" spans="1:16" ht="14.25" customHeight="1">
      <c r="A24" s="163"/>
      <c r="B24" s="164"/>
      <c r="C24" s="78" t="s">
        <v>17</v>
      </c>
      <c r="D24" s="101"/>
      <c r="E24" s="101"/>
      <c r="F24" s="101"/>
      <c r="G24" s="101"/>
      <c r="H24" s="101"/>
      <c r="I24" s="101"/>
      <c r="J24" s="101"/>
    </row>
    <row r="25" spans="1:16" ht="15.75">
      <c r="A25" s="163"/>
      <c r="B25" s="164"/>
      <c r="C25" s="72" t="s">
        <v>18</v>
      </c>
      <c r="D25" s="45" t="s">
        <v>128</v>
      </c>
      <c r="E25" s="45" t="s">
        <v>128</v>
      </c>
      <c r="F25" s="45" t="s">
        <v>128</v>
      </c>
      <c r="G25" s="45" t="s">
        <v>136</v>
      </c>
      <c r="H25" s="45" t="s">
        <v>128</v>
      </c>
      <c r="I25" s="56" t="s">
        <v>128</v>
      </c>
      <c r="J25" s="45" t="s">
        <v>128</v>
      </c>
    </row>
    <row r="26" spans="1:16" ht="15.75">
      <c r="A26" s="163"/>
      <c r="B26" s="164"/>
      <c r="C26" s="72"/>
      <c r="D26" s="45"/>
      <c r="E26" s="45"/>
      <c r="F26" s="45"/>
      <c r="G26" s="45"/>
      <c r="H26" s="45"/>
      <c r="I26" s="45" t="s">
        <v>119</v>
      </c>
      <c r="J26" s="45"/>
    </row>
    <row r="27" spans="1:16" ht="15.75">
      <c r="A27" s="163"/>
      <c r="B27" s="164"/>
      <c r="C27" s="76" t="s">
        <v>12</v>
      </c>
      <c r="D27" s="102"/>
      <c r="E27" s="102"/>
      <c r="F27" s="102"/>
      <c r="G27" s="103"/>
      <c r="H27" s="103"/>
      <c r="I27" s="53" t="s">
        <v>128</v>
      </c>
      <c r="J27" s="103"/>
    </row>
    <row r="28" spans="1:16" ht="14.25" customHeight="1">
      <c r="A28" s="163"/>
      <c r="B28" s="164"/>
      <c r="C28" s="77" t="s">
        <v>15</v>
      </c>
      <c r="D28" s="103"/>
      <c r="E28" s="103"/>
      <c r="F28" s="103"/>
      <c r="G28" s="103"/>
      <c r="H28" s="103"/>
      <c r="I28" s="103"/>
      <c r="J28" s="103"/>
    </row>
    <row r="29" spans="1:16" ht="15" customHeight="1">
      <c r="A29" s="163"/>
      <c r="C29" s="78" t="s">
        <v>17</v>
      </c>
      <c r="D29" s="104"/>
      <c r="E29" s="103"/>
      <c r="F29" s="103"/>
      <c r="G29" s="103"/>
      <c r="H29" s="103"/>
      <c r="I29" s="103"/>
      <c r="J29" s="103"/>
    </row>
    <row r="30" spans="1:16" ht="15.75" customHeight="1">
      <c r="D30" s="51"/>
      <c r="E30" s="51"/>
      <c r="F30" s="51"/>
      <c r="G30" s="51"/>
      <c r="H30" s="51"/>
      <c r="I30" s="51"/>
      <c r="J30" s="51"/>
    </row>
    <row r="31" spans="1:16" ht="15.75">
      <c r="A31" s="163" t="s">
        <v>20</v>
      </c>
      <c r="B31" s="164" t="s">
        <v>127</v>
      </c>
      <c r="C31" s="72" t="s">
        <v>3</v>
      </c>
      <c r="D31" s="6" t="s">
        <v>91</v>
      </c>
      <c r="E31" s="6" t="s">
        <v>92</v>
      </c>
      <c r="F31" s="6" t="s">
        <v>93</v>
      </c>
      <c r="G31" s="6" t="s">
        <v>94</v>
      </c>
      <c r="H31" s="6" t="s">
        <v>95</v>
      </c>
      <c r="I31" s="6" t="s">
        <v>96</v>
      </c>
      <c r="J31" s="6" t="s">
        <v>97</v>
      </c>
    </row>
    <row r="32" spans="1:16" ht="29.25" customHeight="1">
      <c r="A32" s="163"/>
      <c r="B32" s="164"/>
      <c r="C32" s="72" t="s">
        <v>5</v>
      </c>
      <c r="D32" s="45" t="s">
        <v>129</v>
      </c>
      <c r="E32" s="45" t="s">
        <v>129</v>
      </c>
      <c r="F32" s="45" t="s">
        <v>129</v>
      </c>
      <c r="G32" s="45" t="s">
        <v>129</v>
      </c>
      <c r="H32" s="56" t="s">
        <v>129</v>
      </c>
      <c r="I32" s="9" t="s">
        <v>129</v>
      </c>
      <c r="J32" s="45" t="s">
        <v>129</v>
      </c>
    </row>
    <row r="33" spans="1:10" ht="15.75" customHeight="1">
      <c r="A33" s="163"/>
      <c r="B33" s="164"/>
      <c r="C33" s="72" t="s">
        <v>66</v>
      </c>
      <c r="D33" s="45"/>
      <c r="E33" s="45"/>
      <c r="F33" s="45" t="s">
        <v>119</v>
      </c>
      <c r="G33" s="45"/>
      <c r="H33" s="45" t="s">
        <v>119</v>
      </c>
      <c r="I33" s="45"/>
      <c r="J33" s="10" t="s">
        <v>119</v>
      </c>
    </row>
    <row r="34" spans="1:10" ht="15.75">
      <c r="A34" s="163"/>
      <c r="B34" s="164"/>
      <c r="C34" s="76" t="s">
        <v>12</v>
      </c>
      <c r="D34" s="101"/>
      <c r="E34" s="101"/>
      <c r="F34" s="101"/>
      <c r="G34" s="101"/>
      <c r="H34" s="52" t="s">
        <v>129</v>
      </c>
      <c r="I34" s="101"/>
      <c r="J34" s="101"/>
    </row>
    <row r="35" spans="1:10" ht="15.75">
      <c r="A35" s="163"/>
      <c r="B35" s="164"/>
      <c r="C35" s="77" t="s">
        <v>15</v>
      </c>
      <c r="D35" s="101"/>
      <c r="E35" s="101"/>
      <c r="F35" s="101"/>
      <c r="G35" s="101"/>
      <c r="H35" s="101"/>
      <c r="I35" s="101"/>
      <c r="J35" s="101"/>
    </row>
    <row r="36" spans="1:10" ht="15.75">
      <c r="A36" s="163"/>
      <c r="B36" s="164"/>
      <c r="C36" s="78" t="s">
        <v>17</v>
      </c>
      <c r="D36" s="101"/>
      <c r="E36" s="101"/>
      <c r="F36" s="101"/>
      <c r="G36" s="101"/>
      <c r="H36" s="101"/>
      <c r="I36" s="101"/>
      <c r="J36" s="101"/>
    </row>
    <row r="37" spans="1:10" ht="15.75">
      <c r="A37" s="163"/>
      <c r="B37" s="164"/>
      <c r="C37" s="72" t="s">
        <v>18</v>
      </c>
      <c r="D37" s="45" t="s">
        <v>128</v>
      </c>
      <c r="E37" s="45" t="s">
        <v>128</v>
      </c>
      <c r="F37" s="45" t="s">
        <v>128</v>
      </c>
      <c r="G37" s="45" t="s">
        <v>136</v>
      </c>
      <c r="H37" s="45" t="s">
        <v>128</v>
      </c>
      <c r="I37" s="56" t="s">
        <v>128</v>
      </c>
      <c r="J37" s="45" t="s">
        <v>128</v>
      </c>
    </row>
    <row r="38" spans="1:10" ht="15.75">
      <c r="A38" s="163"/>
      <c r="B38" s="164"/>
      <c r="C38" s="72"/>
      <c r="D38" s="45"/>
      <c r="E38" s="45"/>
      <c r="F38" s="45"/>
      <c r="G38" s="45"/>
      <c r="H38" s="45"/>
      <c r="I38" s="9" t="s">
        <v>119</v>
      </c>
      <c r="J38" s="45"/>
    </row>
    <row r="39" spans="1:10" ht="15.75">
      <c r="A39" s="163"/>
      <c r="B39" s="164"/>
      <c r="C39" s="76" t="s">
        <v>12</v>
      </c>
      <c r="D39" s="102"/>
      <c r="E39" s="102"/>
      <c r="F39" s="102"/>
      <c r="G39" s="103"/>
      <c r="H39" s="103"/>
      <c r="I39" s="53" t="s">
        <v>128</v>
      </c>
      <c r="J39" s="103"/>
    </row>
    <row r="40" spans="1:10" ht="15.75">
      <c r="A40" s="163"/>
      <c r="B40" s="164"/>
      <c r="C40" s="77" t="s">
        <v>15</v>
      </c>
      <c r="D40" s="103"/>
      <c r="E40" s="103"/>
      <c r="F40" s="103"/>
      <c r="G40" s="103"/>
      <c r="H40" s="103"/>
      <c r="I40" s="103"/>
      <c r="J40" s="103"/>
    </row>
    <row r="41" spans="1:10" ht="15.75">
      <c r="A41" s="163"/>
      <c r="B41" s="82"/>
      <c r="C41" s="78" t="s">
        <v>17</v>
      </c>
      <c r="D41" s="104"/>
      <c r="E41" s="103"/>
      <c r="F41" s="103"/>
      <c r="G41" s="103"/>
      <c r="H41" s="103"/>
      <c r="I41" s="103"/>
      <c r="J41" s="103"/>
    </row>
    <row r="42" spans="1:10" ht="17.25" customHeight="1">
      <c r="A42" s="69"/>
      <c r="B42" s="70"/>
      <c r="C42" s="106"/>
      <c r="D42" s="107"/>
      <c r="E42" s="107"/>
      <c r="F42" s="107"/>
      <c r="G42" s="107"/>
      <c r="H42" s="107"/>
      <c r="I42" s="107"/>
      <c r="J42" s="51"/>
    </row>
    <row r="43" spans="1:10" ht="20.25" customHeight="1">
      <c r="A43" s="163" t="s">
        <v>21</v>
      </c>
      <c r="B43" s="164" t="s">
        <v>127</v>
      </c>
      <c r="C43" s="72" t="s">
        <v>3</v>
      </c>
      <c r="D43" s="6" t="s">
        <v>98</v>
      </c>
      <c r="E43" s="6" t="s">
        <v>99</v>
      </c>
      <c r="F43" s="6" t="s">
        <v>100</v>
      </c>
      <c r="G43" s="6" t="s">
        <v>101</v>
      </c>
      <c r="H43" s="6" t="s">
        <v>102</v>
      </c>
      <c r="I43" s="6" t="s">
        <v>103</v>
      </c>
      <c r="J43" s="6" t="s">
        <v>104</v>
      </c>
    </row>
    <row r="44" spans="1:10" ht="20.25" customHeight="1">
      <c r="A44" s="163"/>
      <c r="B44" s="164"/>
      <c r="C44" s="72" t="s">
        <v>5</v>
      </c>
      <c r="D44" s="45" t="s">
        <v>129</v>
      </c>
      <c r="E44" s="45" t="s">
        <v>129</v>
      </c>
      <c r="F44" s="45" t="s">
        <v>129</v>
      </c>
      <c r="G44" s="45" t="s">
        <v>129</v>
      </c>
      <c r="H44" s="56" t="s">
        <v>129</v>
      </c>
      <c r="I44" s="9" t="s">
        <v>129</v>
      </c>
      <c r="J44" s="45" t="s">
        <v>129</v>
      </c>
    </row>
    <row r="45" spans="1:10" ht="15.75">
      <c r="A45" s="163"/>
      <c r="B45" s="164"/>
      <c r="C45" s="72" t="s">
        <v>66</v>
      </c>
      <c r="D45" s="45"/>
      <c r="E45" s="45"/>
      <c r="F45" s="45" t="s">
        <v>119</v>
      </c>
      <c r="G45" s="45"/>
      <c r="H45" s="45" t="s">
        <v>119</v>
      </c>
      <c r="I45" s="45"/>
      <c r="J45" s="58" t="s">
        <v>119</v>
      </c>
    </row>
    <row r="46" spans="1:10" ht="15.75">
      <c r="A46" s="163"/>
      <c r="B46" s="164"/>
      <c r="C46" s="76" t="s">
        <v>12</v>
      </c>
      <c r="D46" s="101"/>
      <c r="E46" s="101"/>
      <c r="F46" s="101"/>
      <c r="G46" s="101"/>
      <c r="H46" s="52" t="s">
        <v>129</v>
      </c>
      <c r="I46" s="101"/>
      <c r="J46" s="101"/>
    </row>
    <row r="47" spans="1:10" ht="15.75">
      <c r="A47" s="163"/>
      <c r="B47" s="164"/>
      <c r="C47" s="77" t="s">
        <v>15</v>
      </c>
      <c r="D47" s="101"/>
      <c r="E47" s="101"/>
      <c r="F47" s="101"/>
      <c r="G47" s="101"/>
      <c r="H47" s="101"/>
      <c r="I47" s="101"/>
      <c r="J47" s="101"/>
    </row>
    <row r="48" spans="1:10" ht="15.75">
      <c r="A48" s="163"/>
      <c r="B48" s="164"/>
      <c r="C48" s="78" t="s">
        <v>17</v>
      </c>
      <c r="D48" s="101"/>
      <c r="E48" s="101"/>
      <c r="F48" s="101"/>
      <c r="G48" s="101"/>
      <c r="H48" s="101"/>
      <c r="I48" s="101"/>
      <c r="J48" s="101"/>
    </row>
    <row r="49" spans="1:21" ht="15.75">
      <c r="A49" s="163"/>
      <c r="B49" s="164"/>
      <c r="C49" s="72" t="s">
        <v>18</v>
      </c>
      <c r="D49" s="45" t="s">
        <v>128</v>
      </c>
      <c r="E49" s="45" t="s">
        <v>128</v>
      </c>
      <c r="F49" s="45" t="s">
        <v>128</v>
      </c>
      <c r="G49" s="45" t="s">
        <v>128</v>
      </c>
      <c r="H49" s="45" t="s">
        <v>128</v>
      </c>
      <c r="I49" s="58" t="s">
        <v>128</v>
      </c>
      <c r="J49" s="45" t="s">
        <v>128</v>
      </c>
    </row>
    <row r="50" spans="1:21" ht="15.75">
      <c r="A50" s="163"/>
      <c r="B50" s="164"/>
      <c r="C50" s="72"/>
      <c r="D50" s="58" t="s">
        <v>119</v>
      </c>
      <c r="E50" s="45"/>
      <c r="F50" s="45"/>
      <c r="G50" s="45"/>
      <c r="H50" s="45"/>
      <c r="I50" s="45" t="s">
        <v>119</v>
      </c>
      <c r="J50" s="45"/>
    </row>
    <row r="51" spans="1:21" ht="15.75">
      <c r="A51" s="163"/>
      <c r="B51" s="164"/>
      <c r="C51" s="76" t="s">
        <v>12</v>
      </c>
      <c r="D51" s="53" t="s">
        <v>119</v>
      </c>
      <c r="E51" s="102"/>
      <c r="F51" s="102"/>
      <c r="G51" s="103"/>
      <c r="H51" s="103"/>
      <c r="I51" s="53" t="s">
        <v>128</v>
      </c>
      <c r="J51" s="103"/>
    </row>
    <row r="52" spans="1:21" ht="15.75">
      <c r="A52" s="163"/>
      <c r="B52" s="164"/>
      <c r="C52" s="86" t="s">
        <v>15</v>
      </c>
      <c r="D52" s="103"/>
      <c r="E52" s="103"/>
      <c r="F52" s="103"/>
      <c r="G52" s="103"/>
      <c r="H52" s="103"/>
      <c r="I52" s="103"/>
      <c r="J52" s="103"/>
    </row>
    <row r="53" spans="1:21" ht="15.75">
      <c r="A53" s="163"/>
      <c r="B53" s="82"/>
      <c r="C53" s="78" t="s">
        <v>17</v>
      </c>
      <c r="D53" s="104"/>
      <c r="E53" s="103"/>
      <c r="F53" s="103"/>
      <c r="G53" s="103"/>
      <c r="H53" s="103"/>
      <c r="I53" s="103"/>
      <c r="J53" s="103"/>
    </row>
    <row r="54" spans="1:21">
      <c r="A54" s="69"/>
      <c r="B54"/>
      <c r="D54" s="51"/>
      <c r="E54" s="51"/>
      <c r="F54" s="51"/>
      <c r="G54" s="51"/>
      <c r="H54" s="51"/>
      <c r="I54" s="51"/>
      <c r="J54" s="51"/>
      <c r="O54" s="51"/>
      <c r="P54" s="51"/>
      <c r="Q54" s="51"/>
      <c r="R54" s="51"/>
      <c r="S54" s="51"/>
      <c r="T54" s="51"/>
      <c r="U54" s="51"/>
    </row>
    <row r="55" spans="1:21" ht="15.75">
      <c r="A55" s="163" t="s">
        <v>22</v>
      </c>
      <c r="B55" s="164" t="s">
        <v>127</v>
      </c>
      <c r="C55" s="72" t="s">
        <v>3</v>
      </c>
      <c r="D55" s="6" t="s">
        <v>105</v>
      </c>
      <c r="E55" s="6" t="s">
        <v>106</v>
      </c>
      <c r="F55" s="6" t="s">
        <v>107</v>
      </c>
      <c r="G55" s="6" t="s">
        <v>108</v>
      </c>
      <c r="H55" s="6" t="s">
        <v>109</v>
      </c>
      <c r="I55" s="6" t="s">
        <v>110</v>
      </c>
      <c r="J55" s="6" t="s">
        <v>111</v>
      </c>
      <c r="O55" s="51"/>
      <c r="P55" s="51"/>
      <c r="Q55" s="51"/>
      <c r="R55" s="51"/>
      <c r="S55" s="51"/>
      <c r="T55" s="51"/>
      <c r="U55" s="51"/>
    </row>
    <row r="56" spans="1:21" ht="18" customHeight="1">
      <c r="A56" s="163"/>
      <c r="B56" s="164"/>
      <c r="C56" s="72" t="s">
        <v>5</v>
      </c>
      <c r="D56" s="45" t="s">
        <v>129</v>
      </c>
      <c r="E56" s="45" t="s">
        <v>129</v>
      </c>
      <c r="F56" s="45" t="s">
        <v>129</v>
      </c>
      <c r="G56" s="45" t="s">
        <v>129</v>
      </c>
      <c r="H56" s="56" t="s">
        <v>129</v>
      </c>
      <c r="I56" s="45" t="s">
        <v>129</v>
      </c>
      <c r="J56" s="45" t="s">
        <v>129</v>
      </c>
      <c r="L56" s="54"/>
    </row>
    <row r="57" spans="1:21" ht="15.75">
      <c r="A57" s="163"/>
      <c r="B57" s="164"/>
      <c r="C57" s="72" t="s">
        <v>66</v>
      </c>
      <c r="D57" s="45"/>
      <c r="E57" s="45"/>
      <c r="F57" s="45" t="s">
        <v>119</v>
      </c>
      <c r="G57" s="45"/>
      <c r="H57" s="45" t="s">
        <v>119</v>
      </c>
      <c r="I57" s="45"/>
      <c r="J57" s="10" t="s">
        <v>119</v>
      </c>
    </row>
    <row r="58" spans="1:21" ht="15.75">
      <c r="A58" s="163"/>
      <c r="B58" s="164"/>
      <c r="C58" s="76" t="s">
        <v>12</v>
      </c>
      <c r="D58" s="53" t="s">
        <v>119</v>
      </c>
      <c r="E58" s="101"/>
      <c r="F58" s="101"/>
      <c r="G58" s="101"/>
      <c r="H58" s="52" t="s">
        <v>129</v>
      </c>
      <c r="I58" s="101"/>
      <c r="J58" s="101"/>
    </row>
    <row r="59" spans="1:21" ht="15.75">
      <c r="A59" s="163"/>
      <c r="B59" s="164"/>
      <c r="C59" s="77" t="s">
        <v>15</v>
      </c>
      <c r="D59" s="101"/>
      <c r="E59" s="101"/>
      <c r="F59" s="101"/>
      <c r="G59" s="101"/>
      <c r="H59" s="101"/>
      <c r="I59" s="101"/>
      <c r="J59" s="101"/>
    </row>
    <row r="60" spans="1:21" ht="15.75">
      <c r="A60" s="163"/>
      <c r="B60" s="164"/>
      <c r="C60" s="78" t="s">
        <v>17</v>
      </c>
      <c r="D60" s="101"/>
      <c r="E60" s="101"/>
      <c r="F60" s="101"/>
      <c r="G60" s="101"/>
      <c r="H60" s="101"/>
      <c r="I60" s="101"/>
      <c r="J60" s="101"/>
    </row>
    <row r="61" spans="1:21" ht="15.75">
      <c r="A61" s="163"/>
      <c r="B61" s="164"/>
      <c r="C61" s="72" t="s">
        <v>18</v>
      </c>
      <c r="D61" s="45" t="s">
        <v>128</v>
      </c>
      <c r="E61" s="45" t="s">
        <v>128</v>
      </c>
      <c r="F61" s="45" t="s">
        <v>128</v>
      </c>
      <c r="G61" s="45" t="s">
        <v>128</v>
      </c>
      <c r="H61" s="45" t="s">
        <v>128</v>
      </c>
      <c r="I61" s="56" t="s">
        <v>128</v>
      </c>
      <c r="J61" s="45" t="s">
        <v>128</v>
      </c>
    </row>
    <row r="62" spans="1:21" ht="15.75">
      <c r="A62" s="163"/>
      <c r="B62" s="164"/>
      <c r="C62" s="72"/>
      <c r="D62" s="45"/>
      <c r="E62" s="45"/>
      <c r="F62" s="45"/>
      <c r="G62" s="45"/>
      <c r="H62" s="45"/>
      <c r="I62" s="9" t="s">
        <v>119</v>
      </c>
      <c r="J62" s="45"/>
    </row>
    <row r="63" spans="1:21" ht="15.75">
      <c r="A63" s="163"/>
      <c r="B63" s="164"/>
      <c r="C63" s="76" t="s">
        <v>12</v>
      </c>
      <c r="D63" s="102"/>
      <c r="E63" s="102"/>
      <c r="F63" s="102"/>
      <c r="G63" s="103"/>
      <c r="H63" s="103"/>
      <c r="I63" s="53" t="s">
        <v>128</v>
      </c>
      <c r="J63" s="103"/>
    </row>
    <row r="64" spans="1:21" ht="15.75">
      <c r="A64" s="163"/>
      <c r="B64" s="164"/>
      <c r="C64" s="86" t="s">
        <v>15</v>
      </c>
      <c r="D64" s="103"/>
      <c r="E64" s="103"/>
      <c r="F64" s="103"/>
      <c r="G64" s="103"/>
      <c r="H64" s="103"/>
      <c r="I64" s="103"/>
      <c r="J64" s="103"/>
    </row>
    <row r="65" spans="1:10" ht="15.75">
      <c r="A65" s="163"/>
      <c r="B65" s="82"/>
      <c r="C65" s="78" t="s">
        <v>17</v>
      </c>
      <c r="D65" s="104"/>
      <c r="E65" s="103"/>
      <c r="F65" s="103"/>
      <c r="G65" s="103"/>
      <c r="H65" s="103"/>
      <c r="I65" s="103"/>
      <c r="J65" s="103"/>
    </row>
    <row r="66" spans="1:10" ht="15.75">
      <c r="A66" s="82"/>
      <c r="B66" s="82"/>
      <c r="D66" s="54"/>
      <c r="E66" s="54"/>
      <c r="F66" s="54"/>
      <c r="G66" s="54"/>
      <c r="H66" s="54"/>
      <c r="I66" s="54"/>
      <c r="J66" s="54"/>
    </row>
    <row r="68" spans="1:10">
      <c r="C68" s="51" t="s">
        <v>141</v>
      </c>
    </row>
    <row r="70" spans="1:10">
      <c r="D70" s="50" t="s">
        <v>128</v>
      </c>
      <c r="E70" s="50" t="s">
        <v>125</v>
      </c>
    </row>
    <row r="71" spans="1:10">
      <c r="D71" s="50" t="s">
        <v>129</v>
      </c>
    </row>
    <row r="72" spans="1:10">
      <c r="D72" s="50" t="s">
        <v>119</v>
      </c>
    </row>
  </sheetData>
  <mergeCells count="12">
    <mergeCell ref="B43:B52"/>
    <mergeCell ref="A55:A65"/>
    <mergeCell ref="B55:B64"/>
    <mergeCell ref="C2:J2"/>
    <mergeCell ref="C3:J3"/>
    <mergeCell ref="A7:A17"/>
    <mergeCell ref="B7:B16"/>
    <mergeCell ref="A19:A29"/>
    <mergeCell ref="B19:B28"/>
    <mergeCell ref="A31:A41"/>
    <mergeCell ref="B31:B40"/>
    <mergeCell ref="A43:A5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CACAO 1</vt:lpstr>
      <vt:lpstr>Hoja1</vt:lpstr>
      <vt:lpstr>Hoja2</vt:lpstr>
      <vt:lpstr>CAJA CACAO</vt:lpstr>
      <vt:lpstr>TRUCK STOP</vt:lpstr>
      <vt:lpstr>CAJA TRUCK 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Muebles de Classe</dc:creator>
  <cp:lastModifiedBy>CARLOS DANIEL HERRERA TURCIOS</cp:lastModifiedBy>
  <cp:lastPrinted>2026-05-29T21:34:36Z</cp:lastPrinted>
  <dcterms:created xsi:type="dcterms:W3CDTF">2026-05-25T16:46:47Z</dcterms:created>
  <dcterms:modified xsi:type="dcterms:W3CDTF">2026-06-18T17:11:08Z</dcterms:modified>
</cp:coreProperties>
</file>