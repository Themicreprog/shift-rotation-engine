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LANILLAS ACTUALES\"/>
    </mc:Choice>
  </mc:AlternateContent>
  <xr:revisionPtr revIDLastSave="0" documentId="13_ncr:1_{F2E1BB9A-6025-4AB2-AD47-0762D50AD85D}" xr6:coauthVersionLast="47" xr6:coauthVersionMax="47" xr10:uidLastSave="{00000000-0000-0000-0000-000000000000}"/>
  <bookViews>
    <workbookView xWindow="2175" yWindow="75" windowWidth="18315" windowHeight="10725" firstSheet="1" activeTab="5" xr2:uid="{BD88C4EE-FC77-A64B-A395-14894BDF4004}"/>
  </bookViews>
  <sheets>
    <sheet name="CACAO 1" sheetId="4" r:id="rId1"/>
    <sheet name="Hoja1" sheetId="7" r:id="rId2"/>
    <sheet name="CACAO C1" sheetId="8" r:id="rId3"/>
    <sheet name="CAJA CACAO" sheetId="3" r:id="rId4"/>
    <sheet name="TRUCK STOP" sheetId="2" r:id="rId5"/>
    <sheet name="CAJA TRUCK STO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3" i="8" l="1"/>
  <c r="H53" i="8"/>
  <c r="G53" i="8"/>
  <c r="F53" i="8"/>
  <c r="E53" i="8"/>
  <c r="I143" i="8"/>
  <c r="H143" i="8"/>
  <c r="G143" i="8"/>
  <c r="F143" i="8"/>
  <c r="E143" i="8"/>
  <c r="D143" i="8"/>
  <c r="C143" i="8"/>
  <c r="I119" i="8"/>
  <c r="H119" i="8"/>
  <c r="G119" i="8"/>
  <c r="F119" i="8"/>
  <c r="E119" i="8"/>
  <c r="D119" i="8"/>
  <c r="C119" i="8"/>
  <c r="I96" i="8"/>
  <c r="H96" i="8"/>
  <c r="G96" i="8"/>
  <c r="F96" i="8"/>
  <c r="E96" i="8"/>
  <c r="D96" i="8"/>
  <c r="C96" i="8"/>
  <c r="I75" i="8"/>
  <c r="H75" i="8"/>
  <c r="G75" i="8"/>
  <c r="F75" i="8"/>
  <c r="E75" i="8"/>
  <c r="D75" i="8"/>
  <c r="C75" i="8"/>
  <c r="D53" i="8"/>
  <c r="C53" i="8"/>
  <c r="I31" i="8"/>
  <c r="H31" i="8"/>
  <c r="G31" i="8"/>
  <c r="F31" i="8"/>
  <c r="E31" i="8"/>
  <c r="D31" i="8"/>
  <c r="C31" i="8"/>
  <c r="F136" i="2" l="1"/>
  <c r="E164" i="8"/>
  <c r="K156" i="8"/>
  <c r="J156" i="8"/>
  <c r="I156" i="8"/>
  <c r="F156" i="8"/>
  <c r="E156" i="8"/>
  <c r="D156" i="8"/>
  <c r="K155" i="8"/>
  <c r="J155" i="8"/>
  <c r="I155" i="8"/>
  <c r="F155" i="8"/>
  <c r="E155" i="8"/>
  <c r="D155" i="8"/>
  <c r="K154" i="8"/>
  <c r="J154" i="8"/>
  <c r="I154" i="8"/>
  <c r="F154" i="8"/>
  <c r="E154" i="8"/>
  <c r="D154" i="8"/>
  <c r="K153" i="8"/>
  <c r="J153" i="8"/>
  <c r="I153" i="8"/>
  <c r="F153" i="8"/>
  <c r="E153" i="8"/>
  <c r="D153" i="8"/>
  <c r="K152" i="8"/>
  <c r="J152" i="8"/>
  <c r="I152" i="8"/>
  <c r="F152" i="8"/>
  <c r="E152" i="8"/>
  <c r="D152" i="8"/>
  <c r="K151" i="8"/>
  <c r="J151" i="8"/>
  <c r="I151" i="8"/>
  <c r="F151" i="8"/>
  <c r="E151" i="8"/>
  <c r="D151" i="8"/>
  <c r="K150" i="8"/>
  <c r="J150" i="8"/>
  <c r="I150" i="8"/>
  <c r="F150" i="8"/>
  <c r="E150" i="8"/>
  <c r="D150" i="8"/>
  <c r="K149" i="8"/>
  <c r="J149" i="8"/>
  <c r="I149" i="8"/>
  <c r="F149" i="8"/>
  <c r="E149" i="8"/>
  <c r="D149" i="8"/>
  <c r="I138" i="7"/>
  <c r="H138" i="7"/>
  <c r="G138" i="7"/>
  <c r="F138" i="7"/>
  <c r="E138" i="7"/>
  <c r="D138" i="7"/>
  <c r="C138" i="7"/>
  <c r="D144" i="7"/>
  <c r="E144" i="7"/>
  <c r="F144" i="7"/>
  <c r="I144" i="7"/>
  <c r="J144" i="7"/>
  <c r="K144" i="7"/>
  <c r="D145" i="7"/>
  <c r="E145" i="7"/>
  <c r="F145" i="7"/>
  <c r="I145" i="7"/>
  <c r="J145" i="7"/>
  <c r="K145" i="7"/>
  <c r="E159" i="7"/>
  <c r="K151" i="7"/>
  <c r="J151" i="7"/>
  <c r="I151" i="7"/>
  <c r="F151" i="7"/>
  <c r="E151" i="7"/>
  <c r="D151" i="7"/>
  <c r="K150" i="7"/>
  <c r="J150" i="7"/>
  <c r="I150" i="7"/>
  <c r="F150" i="7"/>
  <c r="E150" i="7"/>
  <c r="D150" i="7"/>
  <c r="K149" i="7"/>
  <c r="J149" i="7"/>
  <c r="I149" i="7"/>
  <c r="F149" i="7"/>
  <c r="E149" i="7"/>
  <c r="D149" i="7"/>
  <c r="K148" i="7"/>
  <c r="J148" i="7"/>
  <c r="I148" i="7"/>
  <c r="F148" i="7"/>
  <c r="E148" i="7"/>
  <c r="D148" i="7"/>
  <c r="K147" i="7"/>
  <c r="J147" i="7"/>
  <c r="I147" i="7"/>
  <c r="F147" i="7"/>
  <c r="E147" i="7"/>
  <c r="D147" i="7"/>
  <c r="K146" i="7"/>
  <c r="J146" i="7"/>
  <c r="I146" i="7"/>
  <c r="F146" i="7"/>
  <c r="E146" i="7"/>
  <c r="D146" i="7"/>
  <c r="I116" i="7"/>
  <c r="H116" i="7"/>
  <c r="G116" i="7"/>
  <c r="F116" i="7"/>
  <c r="E116" i="7"/>
  <c r="D116" i="7"/>
  <c r="C116" i="7"/>
  <c r="I94" i="7"/>
  <c r="H94" i="7"/>
  <c r="G94" i="7"/>
  <c r="F94" i="7"/>
  <c r="E94" i="7"/>
  <c r="D94" i="7"/>
  <c r="C94" i="7"/>
  <c r="I73" i="7"/>
  <c r="H73" i="7"/>
  <c r="G73" i="7"/>
  <c r="F73" i="7"/>
  <c r="E73" i="7"/>
  <c r="D73" i="7"/>
  <c r="C73" i="7"/>
  <c r="I52" i="7"/>
  <c r="H52" i="7"/>
  <c r="G52" i="7"/>
  <c r="F52" i="7"/>
  <c r="E52" i="7"/>
  <c r="D52" i="7"/>
  <c r="C52" i="7"/>
  <c r="I31" i="7"/>
  <c r="H31" i="7"/>
  <c r="G31" i="7"/>
  <c r="F31" i="7"/>
  <c r="E31" i="7"/>
  <c r="D31" i="7"/>
  <c r="C31" i="7"/>
  <c r="I130" i="2"/>
  <c r="H130" i="2"/>
  <c r="G130" i="2"/>
  <c r="F130" i="2"/>
  <c r="E130" i="2"/>
  <c r="D130" i="2"/>
  <c r="C130" i="2"/>
  <c r="E150" i="2"/>
  <c r="K143" i="2"/>
  <c r="J143" i="2"/>
  <c r="I143" i="2"/>
  <c r="F143" i="2"/>
  <c r="E143" i="2"/>
  <c r="D143" i="2"/>
  <c r="K142" i="2"/>
  <c r="J142" i="2"/>
  <c r="I142" i="2"/>
  <c r="F142" i="2"/>
  <c r="E142" i="2"/>
  <c r="D142" i="2"/>
  <c r="K141" i="2"/>
  <c r="J141" i="2"/>
  <c r="I141" i="2"/>
  <c r="F141" i="2"/>
  <c r="E141" i="2"/>
  <c r="D141" i="2"/>
  <c r="K140" i="2"/>
  <c r="J140" i="2"/>
  <c r="I140" i="2"/>
  <c r="F140" i="2"/>
  <c r="E140" i="2"/>
  <c r="D140" i="2"/>
  <c r="K139" i="2"/>
  <c r="J139" i="2"/>
  <c r="I139" i="2"/>
  <c r="F139" i="2"/>
  <c r="E139" i="2"/>
  <c r="D139" i="2"/>
  <c r="K138" i="2"/>
  <c r="J138" i="2"/>
  <c r="I138" i="2"/>
  <c r="F138" i="2"/>
  <c r="E138" i="2"/>
  <c r="D138" i="2"/>
  <c r="N137" i="2"/>
  <c r="K137" i="2"/>
  <c r="J137" i="2"/>
  <c r="I137" i="2"/>
  <c r="F137" i="2"/>
  <c r="E137" i="2"/>
  <c r="D137" i="2"/>
  <c r="K136" i="2"/>
  <c r="J136" i="2"/>
  <c r="I136" i="2"/>
  <c r="E136" i="2"/>
  <c r="D136" i="2"/>
  <c r="I110" i="2"/>
  <c r="H110" i="2"/>
  <c r="G110" i="2"/>
  <c r="F110" i="2"/>
  <c r="E110" i="2"/>
  <c r="D110" i="2"/>
  <c r="C110" i="2"/>
  <c r="I90" i="2"/>
  <c r="H90" i="2"/>
  <c r="G90" i="2"/>
  <c r="F90" i="2"/>
  <c r="E90" i="2"/>
  <c r="D90" i="2"/>
  <c r="C90" i="2"/>
  <c r="I70" i="2"/>
  <c r="H70" i="2"/>
  <c r="G70" i="2"/>
  <c r="F70" i="2"/>
  <c r="E70" i="2"/>
  <c r="D70" i="2"/>
  <c r="C70" i="2"/>
  <c r="I48" i="2"/>
  <c r="H48" i="2"/>
  <c r="G48" i="2"/>
  <c r="F48" i="2"/>
  <c r="E48" i="2"/>
  <c r="D48" i="2"/>
  <c r="C48" i="2"/>
  <c r="I28" i="2"/>
  <c r="H28" i="2"/>
  <c r="G28" i="2"/>
  <c r="F28" i="2"/>
  <c r="E28" i="2"/>
  <c r="D28" i="2"/>
  <c r="C28" i="2"/>
  <c r="M13" i="3"/>
  <c r="AG12" i="3"/>
  <c r="AG11" i="3"/>
  <c r="AG10" i="3"/>
  <c r="AD10" i="3"/>
  <c r="AG9" i="3"/>
  <c r="AG8" i="3"/>
  <c r="G149" i="8" l="1"/>
  <c r="G153" i="8"/>
  <c r="E157" i="8"/>
  <c r="J157" i="8"/>
  <c r="I157" i="8"/>
  <c r="L150" i="8"/>
  <c r="L151" i="8"/>
  <c r="L155" i="8"/>
  <c r="L154" i="8"/>
  <c r="G156" i="8"/>
  <c r="G151" i="8"/>
  <c r="G155" i="8"/>
  <c r="G152" i="8"/>
  <c r="L149" i="8"/>
  <c r="L153" i="8"/>
  <c r="L152" i="8"/>
  <c r="L156" i="8"/>
  <c r="D157" i="8"/>
  <c r="G150" i="8"/>
  <c r="G154" i="8"/>
  <c r="F157" i="8"/>
  <c r="K157" i="8"/>
  <c r="L144" i="7"/>
  <c r="G145" i="7"/>
  <c r="G144" i="7"/>
  <c r="L145" i="7"/>
  <c r="J152" i="7"/>
  <c r="E152" i="7"/>
  <c r="L146" i="7"/>
  <c r="L150" i="7"/>
  <c r="G151" i="7"/>
  <c r="G148" i="7"/>
  <c r="L149" i="7"/>
  <c r="I152" i="7"/>
  <c r="G147" i="7"/>
  <c r="G146" i="7"/>
  <c r="G150" i="7"/>
  <c r="L148" i="7"/>
  <c r="L147" i="7"/>
  <c r="L151" i="7"/>
  <c r="D152" i="7"/>
  <c r="G149" i="7"/>
  <c r="F152" i="7"/>
  <c r="K152" i="7"/>
  <c r="J144" i="2"/>
  <c r="I144" i="2"/>
  <c r="L137" i="2"/>
  <c r="L138" i="2"/>
  <c r="L142" i="2"/>
  <c r="L141" i="2"/>
  <c r="L140" i="2"/>
  <c r="L136" i="2"/>
  <c r="L139" i="2"/>
  <c r="L143" i="2"/>
  <c r="G137" i="2"/>
  <c r="G136" i="2"/>
  <c r="G140" i="2"/>
  <c r="G138" i="2"/>
  <c r="G143" i="2"/>
  <c r="E144" i="2"/>
  <c r="G142" i="2"/>
  <c r="D144" i="2"/>
  <c r="F144" i="2"/>
  <c r="G139" i="2"/>
  <c r="G141" i="2"/>
  <c r="K144" i="2"/>
  <c r="G157" i="8" l="1"/>
  <c r="L157" i="8"/>
  <c r="E162" i="8"/>
  <c r="L152" i="7"/>
  <c r="G152" i="7"/>
  <c r="E157" i="7"/>
  <c r="L144" i="2"/>
  <c r="G144" i="2"/>
  <c r="E148" i="2"/>
  <c r="E136" i="4" l="1"/>
  <c r="K128" i="4"/>
  <c r="J128" i="4"/>
  <c r="I128" i="4"/>
  <c r="F128" i="4"/>
  <c r="E128" i="4"/>
  <c r="D128" i="4"/>
  <c r="K127" i="4"/>
  <c r="J127" i="4"/>
  <c r="I127" i="4"/>
  <c r="F127" i="4"/>
  <c r="E127" i="4"/>
  <c r="D127" i="4"/>
  <c r="K126" i="4"/>
  <c r="J126" i="4"/>
  <c r="I126" i="4"/>
  <c r="F126" i="4"/>
  <c r="E126" i="4"/>
  <c r="D126" i="4"/>
  <c r="K125" i="4"/>
  <c r="J125" i="4"/>
  <c r="I125" i="4"/>
  <c r="F125" i="4"/>
  <c r="E125" i="4"/>
  <c r="D125" i="4"/>
  <c r="K124" i="4"/>
  <c r="J124" i="4"/>
  <c r="I124" i="4"/>
  <c r="F124" i="4"/>
  <c r="E124" i="4"/>
  <c r="D124" i="4"/>
  <c r="K123" i="4"/>
  <c r="J123" i="4"/>
  <c r="I123" i="4"/>
  <c r="F123" i="4"/>
  <c r="E123" i="4"/>
  <c r="D123" i="4"/>
  <c r="K122" i="4"/>
  <c r="J122" i="4"/>
  <c r="I122" i="4"/>
  <c r="F122" i="4"/>
  <c r="E122" i="4"/>
  <c r="D122" i="4"/>
  <c r="K121" i="4"/>
  <c r="J121" i="4"/>
  <c r="I121" i="4"/>
  <c r="F121" i="4"/>
  <c r="E121" i="4"/>
  <c r="D121" i="4"/>
  <c r="I116" i="4"/>
  <c r="H116" i="4"/>
  <c r="G116" i="4"/>
  <c r="F116" i="4"/>
  <c r="E116" i="4"/>
  <c r="D116" i="4"/>
  <c r="C116" i="4"/>
  <c r="I94" i="4"/>
  <c r="H94" i="4"/>
  <c r="G94" i="4"/>
  <c r="F94" i="4"/>
  <c r="E94" i="4"/>
  <c r="D94" i="4"/>
  <c r="C94" i="4"/>
  <c r="I73" i="4"/>
  <c r="H73" i="4"/>
  <c r="G73" i="4"/>
  <c r="F73" i="4"/>
  <c r="E73" i="4"/>
  <c r="D73" i="4"/>
  <c r="C73" i="4"/>
  <c r="I52" i="4"/>
  <c r="H52" i="4"/>
  <c r="G52" i="4"/>
  <c r="F52" i="4"/>
  <c r="E52" i="4"/>
  <c r="D52" i="4"/>
  <c r="C52" i="4"/>
  <c r="I31" i="4"/>
  <c r="H31" i="4"/>
  <c r="G31" i="4"/>
  <c r="F31" i="4"/>
  <c r="E31" i="4"/>
  <c r="D31" i="4"/>
  <c r="C31" i="4"/>
  <c r="G121" i="4" l="1"/>
  <c r="I129" i="4"/>
  <c r="L123" i="4"/>
  <c r="L127" i="4"/>
  <c r="L121" i="4"/>
  <c r="L125" i="4"/>
  <c r="L122" i="4"/>
  <c r="J129" i="4"/>
  <c r="L124" i="4"/>
  <c r="L128" i="4"/>
  <c r="L126" i="4"/>
  <c r="G128" i="4"/>
  <c r="G125" i="4"/>
  <c r="G127" i="4"/>
  <c r="G124" i="4"/>
  <c r="G123" i="4"/>
  <c r="G126" i="4"/>
  <c r="G122" i="4"/>
  <c r="D129" i="4"/>
  <c r="E129" i="4"/>
  <c r="F129" i="4"/>
  <c r="K129" i="4"/>
  <c r="L129" i="4" l="1"/>
  <c r="G129" i="4"/>
  <c r="E13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R43" authorId="0" shapeId="0" xr:uid="{2C0449BF-D960-F14E-BA84-E1D925A5006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TRAJO A TRABAJAR ESTE DIA QUE TENIA PROGRAMADO FERIADO PARA CUBRIR INCAPACIDAD DE MELVIN
</t>
        </r>
      </text>
    </comment>
    <comment ref="R52" authorId="0" shapeId="0" xr:uid="{0E2C657C-2796-084B-910F-2493D892FA6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TRAJO A TRABAJAR ESTE DIA QUE TENIA PROGRAMADO FERIADO PARA CUBRIR INCAPACIDAD DE MELVIN
</t>
        </r>
      </text>
    </comment>
    <comment ref="E136" authorId="0" shapeId="0" xr:uid="{FA2EE672-7E80-B24F-8EBF-52A2ECE34F6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sin incluir a lester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R52" authorId="0" shapeId="0" xr:uid="{1A592A98-AD5E-A44A-8BBE-A97F44BD287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TRAJO A TRABAJAR ESTE DIA QUE TENIA PROGRAMADO FERIADO PARA CUBRIR INCAPACIDAD DE MELVIN
</t>
        </r>
      </text>
    </comment>
    <comment ref="E159" authorId="0" shapeId="0" xr:uid="{385E98DA-961B-AF45-BBD3-4D8C1E3B44C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sin incluir a lester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R53" authorId="0" shapeId="0" xr:uid="{72AE4585-F7CF-9247-B013-F70C1299E38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TRAJO A TRABAJAR ESTE DIA QUE TENIA PROGRAMADO FERIADO PARA CUBRIR INCAPACIDAD DE MELVIN
</t>
        </r>
      </text>
    </comment>
    <comment ref="E164" authorId="0" shapeId="0" xr:uid="{DE623296-820E-B145-8C61-4E8F0C2230E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sin incluir a lester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10" authorId="0" shapeId="0" xr:uid="{78C1A0CF-C218-FC4D-AD1F-6F1944C45DC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duplica turno, el tA son extras</t>
        </r>
      </text>
    </comment>
    <comment ref="F11" authorId="0" shapeId="0" xr:uid="{4FE04EC6-FC2E-0140-B957-753FBAE9141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duplica turno, el tA son extras</t>
        </r>
      </text>
    </comment>
    <comment ref="G20" authorId="0" shapeId="0" xr:uid="{0E7B1FF3-0142-554F-9EBF-B38AE4302C3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este dia milton no se presento a trabajar norlan hizo el turno </t>
        </r>
      </text>
    </comment>
    <comment ref="R48" authorId="0" shapeId="0" xr:uid="{C40174B6-F50F-224B-BE75-7263569B7F0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TRAJO A TRABAJAR ESTE DIA QUE TENIA PROGRAMADO FERIADO PARA CUBRIR INCAPACIDAD DE MELVIN
</t>
        </r>
      </text>
    </comment>
    <comment ref="E150" authorId="0" shapeId="0" xr:uid="{4670F2ED-5458-0940-8562-C66E1F68EDC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sin incluir a lester</t>
        </r>
      </text>
    </comment>
  </commentList>
</comments>
</file>

<file path=xl/sharedStrings.xml><?xml version="1.0" encoding="utf-8"?>
<sst xmlns="http://schemas.openxmlformats.org/spreadsheetml/2006/main" count="2599" uniqueCount="164">
  <si>
    <t xml:space="preserve">CORPORACION ROD, S.A. </t>
  </si>
  <si>
    <t>E/S CACAO ROD</t>
  </si>
  <si>
    <t>SEMANA 1</t>
  </si>
  <si>
    <t>TURNO/DIA</t>
  </si>
  <si>
    <t>Edgar</t>
  </si>
  <si>
    <t xml:space="preserve">Turno A </t>
  </si>
  <si>
    <t>Jose</t>
  </si>
  <si>
    <t>Edwin</t>
  </si>
  <si>
    <t>Joel</t>
  </si>
  <si>
    <t>Luis D</t>
  </si>
  <si>
    <t>Rene</t>
  </si>
  <si>
    <t>Julio</t>
  </si>
  <si>
    <t>Libre</t>
  </si>
  <si>
    <t>Jose Alej</t>
  </si>
  <si>
    <t>Lester</t>
  </si>
  <si>
    <t>Feriado</t>
  </si>
  <si>
    <t>Mario</t>
  </si>
  <si>
    <t>Vacaciones</t>
  </si>
  <si>
    <t>Turno B</t>
  </si>
  <si>
    <t>SEMANA 2</t>
  </si>
  <si>
    <t>SEMANA 3</t>
  </si>
  <si>
    <t>SEMANA 4</t>
  </si>
  <si>
    <t>SEMANA 5</t>
  </si>
  <si>
    <t>Mier. 01/04</t>
  </si>
  <si>
    <t>Jueves 02/04</t>
  </si>
  <si>
    <t>Viernes 03/04</t>
  </si>
  <si>
    <t>Domingo 05/04</t>
  </si>
  <si>
    <t>PRIMERA QUINCENA</t>
  </si>
  <si>
    <t>SEGUNDA QUINCENA CACAO</t>
  </si>
  <si>
    <t>A</t>
  </si>
  <si>
    <t>B</t>
  </si>
  <si>
    <t>Fer/libr/ Vac</t>
  </si>
  <si>
    <t>Total</t>
  </si>
  <si>
    <t>OCT</t>
  </si>
  <si>
    <t>NOV</t>
  </si>
  <si>
    <t>para el 21 de noviembre</t>
  </si>
  <si>
    <t>nota sumar los dias libres deben ser</t>
  </si>
  <si>
    <t xml:space="preserve">turnos en total </t>
  </si>
  <si>
    <t>Cuadro de Turnos mes de Junio 2026</t>
  </si>
  <si>
    <t>semana santa 2026 02-03-04 abril, 14 abril dia americas(20) y 01 mayo dia del trbajo</t>
  </si>
  <si>
    <t>jueves02</t>
  </si>
  <si>
    <t>viernes03</t>
  </si>
  <si>
    <t>sabado04</t>
  </si>
  <si>
    <t>lunes20</t>
  </si>
  <si>
    <t>Sábado 04/04</t>
  </si>
  <si>
    <t>Pendiente</t>
  </si>
  <si>
    <t>Tomado</t>
  </si>
  <si>
    <t>Mier. 3/6</t>
  </si>
  <si>
    <t>Martes 2/6</t>
  </si>
  <si>
    <t>Lunes 1/6</t>
  </si>
  <si>
    <t>Jueves 4/6</t>
  </si>
  <si>
    <t>Viernes 5/6</t>
  </si>
  <si>
    <t>Cajeros</t>
  </si>
  <si>
    <t>CACAO</t>
  </si>
  <si>
    <t>MORAZ</t>
  </si>
  <si>
    <t>NAVIDAD</t>
  </si>
  <si>
    <t>DIC</t>
  </si>
  <si>
    <t>ENERO</t>
  </si>
  <si>
    <t>FEBR</t>
  </si>
  <si>
    <t>MARZ</t>
  </si>
  <si>
    <t>SALDO</t>
  </si>
  <si>
    <t>Natanael</t>
  </si>
  <si>
    <t>Rony</t>
  </si>
  <si>
    <t>NATANAEL</t>
  </si>
  <si>
    <t>OTRO</t>
  </si>
  <si>
    <t>natanael</t>
  </si>
  <si>
    <t>RONY</t>
  </si>
  <si>
    <t>CELEO</t>
  </si>
  <si>
    <t>NORLAN</t>
  </si>
  <si>
    <t>GLENIS</t>
  </si>
  <si>
    <t>CONTINUAL EN EL MISMO TURNO HASTA EL PROXIMO DIA DE DESCANSO DEL QUE ESTA EN TURNO B PARA  HACER EL CAMBIO DESPUES DEL DESCANSO</t>
  </si>
  <si>
    <t>Celeo</t>
  </si>
  <si>
    <t>el dia de descanso no cambio</t>
  </si>
  <si>
    <t>arrastran el descanso al turno que van</t>
  </si>
  <si>
    <t>Sábado 6/6</t>
  </si>
  <si>
    <t>Domingo 7/6</t>
  </si>
  <si>
    <t>Lunes 8/6</t>
  </si>
  <si>
    <t>Martes 9/6</t>
  </si>
  <si>
    <t>Mier. 10/6</t>
  </si>
  <si>
    <t>Jueves 11/6</t>
  </si>
  <si>
    <t>Viernes 12/6</t>
  </si>
  <si>
    <t>Sábado 13/6</t>
  </si>
  <si>
    <t>Domingo 14/6</t>
  </si>
  <si>
    <t>Lunes 15/6</t>
  </si>
  <si>
    <t>Martes 16/6</t>
  </si>
  <si>
    <t>Mier. 17/6</t>
  </si>
  <si>
    <t>Jueves 18/6</t>
  </si>
  <si>
    <t>Viernes 19/6</t>
  </si>
  <si>
    <t>Sábado 20/6</t>
  </si>
  <si>
    <t>Domingo 21/6</t>
  </si>
  <si>
    <t>Lunes 22/6</t>
  </si>
  <si>
    <t>Martes 23/6</t>
  </si>
  <si>
    <t>Mier. 24/6</t>
  </si>
  <si>
    <t>Jueves 25/6</t>
  </si>
  <si>
    <t>Viernes 26/6</t>
  </si>
  <si>
    <t>Sábado 27/6</t>
  </si>
  <si>
    <t>Domingo 28/6</t>
  </si>
  <si>
    <t>Lunes 29/6</t>
  </si>
  <si>
    <t>Martes 30/6</t>
  </si>
  <si>
    <t>Mier. 1/7</t>
  </si>
  <si>
    <t>Jueves 2/7</t>
  </si>
  <si>
    <t>Viernes 3/7</t>
  </si>
  <si>
    <t>Sábado 4/7</t>
  </si>
  <si>
    <t>Domingo 5/7</t>
  </si>
  <si>
    <t>E/S TRUCK STOP</t>
  </si>
  <si>
    <t>Roy</t>
  </si>
  <si>
    <t>Saudy</t>
  </si>
  <si>
    <t>Candido</t>
  </si>
  <si>
    <t>Jeferson</t>
  </si>
  <si>
    <t>Evin</t>
  </si>
  <si>
    <t>Hector</t>
  </si>
  <si>
    <t>Celio</t>
  </si>
  <si>
    <t>Milton</t>
  </si>
  <si>
    <t>SEGUNDA QUINCENA TRUCK</t>
  </si>
  <si>
    <t>feriados octubre</t>
  </si>
  <si>
    <t>oct</t>
  </si>
  <si>
    <t>nov</t>
  </si>
  <si>
    <t>x</t>
  </si>
  <si>
    <t>TRUCK STOP</t>
  </si>
  <si>
    <t>Norlan</t>
  </si>
  <si>
    <t>Derlin</t>
  </si>
  <si>
    <t>A RONY PROGRAMARLE DOS DIAS QUE SE LE DEBEN SEGUIDO DE VACACIONES Y QUE LOS CUBRA EDWIN</t>
  </si>
  <si>
    <t>derlin comodin de caja en vn</t>
  </si>
  <si>
    <t>edwin comodin de caja cacao</t>
  </si>
  <si>
    <t xml:space="preserve">Celio </t>
  </si>
  <si>
    <t xml:space="preserve">Joel </t>
  </si>
  <si>
    <t>Cambio de turno ya realizado solo cambiar el dia de feriado a partir de la proxima semana.</t>
  </si>
  <si>
    <t>Lunes 30/03</t>
  </si>
  <si>
    <t>Martes 31/03</t>
  </si>
  <si>
    <t>Celio (Jefe de Pista)</t>
  </si>
  <si>
    <t>Lunes 6/7</t>
  </si>
  <si>
    <t>Cuadro de Turnos mes de Julio 2026</t>
  </si>
  <si>
    <t>Martes 7/7</t>
  </si>
  <si>
    <t>Mier. 8/7</t>
  </si>
  <si>
    <t>Jueves 9/7</t>
  </si>
  <si>
    <t>Viernes 10/7</t>
  </si>
  <si>
    <t>Sábado 11/7</t>
  </si>
  <si>
    <t>Domingo 12/7</t>
  </si>
  <si>
    <t>Lunes 13/7</t>
  </si>
  <si>
    <t>Martes 14/7</t>
  </si>
  <si>
    <t>Mier. 15/7</t>
  </si>
  <si>
    <t>Jueves 16/7</t>
  </si>
  <si>
    <t>Viernes 17/7</t>
  </si>
  <si>
    <t>Sábado 18/7</t>
  </si>
  <si>
    <t>Domingo 19/7</t>
  </si>
  <si>
    <t>Lunes 20/7</t>
  </si>
  <si>
    <t>Martes 21/7</t>
  </si>
  <si>
    <t>Mier. 22/7</t>
  </si>
  <si>
    <t>Jueves 23/7</t>
  </si>
  <si>
    <t>Viernes 24/7</t>
  </si>
  <si>
    <t>Sábado 25/7</t>
  </si>
  <si>
    <t>Domingo 26/7</t>
  </si>
  <si>
    <t>Lunes 27/7</t>
  </si>
  <si>
    <t>Martes 28/7</t>
  </si>
  <si>
    <t>Mier. 29/7</t>
  </si>
  <si>
    <t>Jueves 30/7</t>
  </si>
  <si>
    <t>Viernes 31/7</t>
  </si>
  <si>
    <t>Sábado 1/8</t>
  </si>
  <si>
    <t>Domingo 2/8</t>
  </si>
  <si>
    <t>Cuadro de Turnos mes de Julio  2026</t>
  </si>
  <si>
    <t>(Jeferson en Caja)</t>
  </si>
  <si>
    <t>Pendientes</t>
  </si>
  <si>
    <t>Edwin (en Caja)</t>
  </si>
  <si>
    <t>Derlin/Celio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</si>
</sst>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2" tint="-0.249977111117893"/>
      <name val="Aptos Narrow"/>
      <family val="2"/>
      <scheme val="minor"/>
    </font>
    <font>
      <b/>
      <sz val="11"/>
      <color theme="2" tint="-9.9978637043366805E-2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2"/>
      <color theme="1"/>
      <name val="Abadi"/>
      <family val="2"/>
    </font>
    <font>
      <b/>
      <sz val="11"/>
      <color theme="1"/>
      <name val="Abadi"/>
      <family val="2"/>
    </font>
    <font>
      <b/>
      <sz val="11"/>
      <color theme="2" tint="-0.499984740745262"/>
      <name val="Abadi"/>
      <family val="2"/>
    </font>
    <font>
      <b/>
      <sz val="11"/>
      <color theme="2" tint="-9.9978637043366805E-2"/>
      <name val="Abadi"/>
      <family val="2"/>
    </font>
    <font>
      <b/>
      <sz val="11"/>
      <color theme="2"/>
      <name val="Abadi"/>
      <family val="2"/>
    </font>
    <font>
      <sz val="11"/>
      <color theme="1"/>
      <name val="Abadi"/>
      <family val="2"/>
    </font>
    <font>
      <b/>
      <sz val="11"/>
      <color theme="8" tint="-0.499984740745262"/>
      <name val="Aptos Narrow"/>
      <family val="2"/>
      <scheme val="minor"/>
    </font>
    <font>
      <b/>
      <sz val="18"/>
      <color theme="1"/>
      <name val="Abadi"/>
      <family val="2"/>
    </font>
    <font>
      <sz val="11"/>
      <name val="Abadi"/>
      <family val="2"/>
    </font>
    <font>
      <b/>
      <sz val="16"/>
      <color theme="1"/>
      <name val="Abadi"/>
      <family val="2"/>
    </font>
    <font>
      <b/>
      <sz val="14"/>
      <color theme="1"/>
      <name val="Abadi"/>
      <family val="2"/>
    </font>
    <font>
      <b/>
      <sz val="11"/>
      <name val="Abadi"/>
      <family val="2"/>
    </font>
    <font>
      <b/>
      <sz val="12"/>
      <color theme="1"/>
      <name val="Abadi"/>
      <family val="2"/>
    </font>
    <font>
      <b/>
      <sz val="12"/>
      <name val="Abadi"/>
      <family val="2"/>
    </font>
    <font>
      <b/>
      <sz val="12"/>
      <color theme="2" tint="-0.249977111117893"/>
      <name val="Abadi"/>
      <family val="2"/>
    </font>
    <font>
      <b/>
      <sz val="12"/>
      <color theme="2" tint="-0.499984740745262"/>
      <name val="Abadi"/>
      <family val="2"/>
    </font>
    <font>
      <b/>
      <sz val="12"/>
      <color theme="2" tint="-9.9978637043366805E-2"/>
      <name val="Abadi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center"/>
    </xf>
    <xf numFmtId="0" fontId="5" fillId="0" borderId="3" xfId="0" applyFont="1" applyBorder="1"/>
    <xf numFmtId="0" fontId="0" fillId="3" borderId="0" xfId="0" applyFill="1"/>
    <xf numFmtId="0" fontId="5" fillId="3" borderId="0" xfId="0" applyFont="1" applyFill="1" applyAlignment="1">
      <alignment horizontal="center"/>
    </xf>
    <xf numFmtId="0" fontId="5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16" fontId="5" fillId="0" borderId="0" xfId="0" applyNumberFormat="1" applyFont="1" applyAlignment="1">
      <alignment horizontal="center"/>
    </xf>
    <xf numFmtId="16" fontId="5" fillId="3" borderId="0" xfId="0" applyNumberFormat="1" applyFont="1" applyFill="1" applyAlignment="1">
      <alignment horizontal="center" wrapText="1"/>
    </xf>
    <xf numFmtId="16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5" fillId="4" borderId="3" xfId="0" applyFont="1" applyFill="1" applyBorder="1"/>
    <xf numFmtId="0" fontId="5" fillId="2" borderId="3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5" fillId="3" borderId="3" xfId="0" applyFont="1" applyFill="1" applyBorder="1"/>
    <xf numFmtId="0" fontId="5" fillId="2" borderId="7" xfId="0" applyFont="1" applyFill="1" applyBorder="1" applyAlignment="1">
      <alignment wrapText="1"/>
    </xf>
    <xf numFmtId="16" fontId="5" fillId="3" borderId="0" xfId="0" applyNumberFormat="1" applyFont="1" applyFill="1" applyAlignment="1">
      <alignment horizontal="center"/>
    </xf>
    <xf numFmtId="0" fontId="5" fillId="5" borderId="3" xfId="0" applyFont="1" applyFill="1" applyBorder="1"/>
    <xf numFmtId="0" fontId="0" fillId="7" borderId="0" xfId="0" applyFill="1"/>
    <xf numFmtId="0" fontId="5" fillId="2" borderId="3" xfId="0" applyFont="1" applyFill="1" applyBorder="1"/>
    <xf numFmtId="0" fontId="5" fillId="8" borderId="3" xfId="0" applyFont="1" applyFill="1" applyBorder="1"/>
    <xf numFmtId="0" fontId="5" fillId="2" borderId="4" xfId="0" applyFont="1" applyFill="1" applyBorder="1"/>
    <xf numFmtId="0" fontId="5" fillId="8" borderId="3" xfId="0" applyFont="1" applyFill="1" applyBorder="1" applyAlignment="1">
      <alignment wrapText="1"/>
    </xf>
    <xf numFmtId="0" fontId="5" fillId="4" borderId="4" xfId="0" applyFont="1" applyFill="1" applyBorder="1"/>
    <xf numFmtId="0" fontId="5" fillId="3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43" fontId="0" fillId="0" borderId="0" xfId="1" applyFont="1"/>
    <xf numFmtId="43" fontId="5" fillId="0" borderId="0" xfId="1" applyFont="1" applyAlignment="1">
      <alignment horizontal="center" wrapText="1"/>
    </xf>
    <xf numFmtId="43" fontId="5" fillId="0" borderId="0" xfId="1" applyFont="1" applyAlignment="1">
      <alignment wrapText="1"/>
    </xf>
    <xf numFmtId="0" fontId="0" fillId="9" borderId="0" xfId="0" applyFill="1"/>
    <xf numFmtId="0" fontId="0" fillId="9" borderId="0" xfId="0" applyFill="1" applyAlignment="1">
      <alignment horizontal="center"/>
    </xf>
    <xf numFmtId="43" fontId="0" fillId="9" borderId="0" xfId="0" applyNumberFormat="1" applyFill="1" applyAlignment="1">
      <alignment horizontal="center"/>
    </xf>
    <xf numFmtId="43" fontId="0" fillId="0" borderId="0" xfId="0" applyNumberFormat="1" applyAlignment="1">
      <alignment horizontal="center"/>
    </xf>
    <xf numFmtId="16" fontId="0" fillId="0" borderId="0" xfId="0" applyNumberFormat="1"/>
    <xf numFmtId="0" fontId="9" fillId="0" borderId="3" xfId="0" applyFont="1" applyBorder="1"/>
    <xf numFmtId="16" fontId="5" fillId="0" borderId="0" xfId="0" applyNumberFormat="1" applyFont="1"/>
    <xf numFmtId="0" fontId="10" fillId="0" borderId="3" xfId="0" applyFont="1" applyBorder="1" applyAlignment="1">
      <alignment wrapText="1"/>
    </xf>
    <xf numFmtId="0" fontId="10" fillId="2" borderId="4" xfId="0" applyFont="1" applyFill="1" applyBorder="1" applyAlignment="1">
      <alignment wrapText="1"/>
    </xf>
    <xf numFmtId="0" fontId="10" fillId="2" borderId="3" xfId="0" applyFont="1" applyFill="1" applyBorder="1" applyAlignment="1">
      <alignment wrapText="1"/>
    </xf>
    <xf numFmtId="0" fontId="10" fillId="2" borderId="3" xfId="0" applyFont="1" applyFill="1" applyBorder="1"/>
    <xf numFmtId="0" fontId="9" fillId="2" borderId="7" xfId="0" applyFont="1" applyFill="1" applyBorder="1" applyAlignment="1">
      <alignment wrapText="1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5" fillId="0" borderId="1" xfId="0" applyFont="1" applyBorder="1" applyAlignment="1">
      <alignment horizontal="center"/>
    </xf>
    <xf numFmtId="0" fontId="13" fillId="0" borderId="3" xfId="0" applyFont="1" applyBorder="1" applyAlignment="1">
      <alignment wrapText="1"/>
    </xf>
    <xf numFmtId="0" fontId="6" fillId="8" borderId="3" xfId="0" applyFont="1" applyFill="1" applyBorder="1" applyAlignment="1">
      <alignment wrapText="1"/>
    </xf>
    <xf numFmtId="0" fontId="14" fillId="0" borderId="3" xfId="0" applyFont="1" applyBorder="1" applyAlignment="1">
      <alignment wrapText="1"/>
    </xf>
    <xf numFmtId="0" fontId="5" fillId="6" borderId="3" xfId="0" applyFont="1" applyFill="1" applyBorder="1"/>
    <xf numFmtId="0" fontId="5" fillId="8" borderId="7" xfId="0" applyFont="1" applyFill="1" applyBorder="1" applyAlignment="1">
      <alignment wrapText="1"/>
    </xf>
    <xf numFmtId="0" fontId="0" fillId="8" borderId="0" xfId="0" applyFill="1"/>
    <xf numFmtId="0" fontId="0" fillId="8" borderId="3" xfId="0" applyFill="1" applyBorder="1"/>
    <xf numFmtId="0" fontId="5" fillId="6" borderId="3" xfId="0" applyFont="1" applyFill="1" applyBorder="1" applyAlignment="1">
      <alignment wrapText="1"/>
    </xf>
    <xf numFmtId="0" fontId="14" fillId="0" borderId="4" xfId="0" applyFont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5" fillId="6" borderId="4" xfId="0" applyFont="1" applyFill="1" applyBorder="1" applyAlignment="1">
      <alignment wrapText="1"/>
    </xf>
    <xf numFmtId="0" fontId="5" fillId="3" borderId="4" xfId="0" applyFont="1" applyFill="1" applyBorder="1"/>
    <xf numFmtId="0" fontId="5" fillId="3" borderId="8" xfId="0" applyFont="1" applyFill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horizontal="center" vertical="center" textRotation="90"/>
    </xf>
    <xf numFmtId="0" fontId="15" fillId="0" borderId="2" xfId="0" applyFont="1" applyBorder="1" applyAlignment="1">
      <alignment horizontal="center" vertical="center" textRotation="90"/>
    </xf>
    <xf numFmtId="0" fontId="0" fillId="10" borderId="0" xfId="0" applyFill="1"/>
    <xf numFmtId="0" fontId="11" fillId="10" borderId="0" xfId="0" applyFont="1" applyFill="1"/>
    <xf numFmtId="0" fontId="0" fillId="0" borderId="0" xfId="0" applyAlignment="1">
      <alignment horizontal="left"/>
    </xf>
    <xf numFmtId="0" fontId="0" fillId="5" borderId="0" xfId="0" applyFill="1" applyAlignment="1">
      <alignment wrapText="1"/>
    </xf>
    <xf numFmtId="0" fontId="15" fillId="0" borderId="0" xfId="0" applyFont="1" applyAlignment="1">
      <alignment vertical="center" textRotation="90"/>
    </xf>
    <xf numFmtId="0" fontId="0" fillId="0" borderId="9" xfId="0" applyBorder="1"/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7" xfId="0" applyFont="1" applyBorder="1" applyAlignment="1">
      <alignment wrapText="1"/>
    </xf>
    <xf numFmtId="0" fontId="6" fillId="0" borderId="7" xfId="0" applyFont="1" applyBorder="1" applyAlignment="1">
      <alignment wrapText="1"/>
    </xf>
    <xf numFmtId="43" fontId="0" fillId="0" borderId="0" xfId="0" applyNumberForma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43" fontId="12" fillId="9" borderId="0" xfId="0" applyNumberFormat="1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3" fillId="0" borderId="7" xfId="0" applyFont="1" applyBorder="1" applyAlignment="1">
      <alignment wrapText="1"/>
    </xf>
    <xf numFmtId="0" fontId="5" fillId="5" borderId="3" xfId="0" applyFont="1" applyFill="1" applyBorder="1" applyAlignment="1">
      <alignment wrapText="1"/>
    </xf>
    <xf numFmtId="0" fontId="5" fillId="2" borderId="2" xfId="0" applyFont="1" applyFill="1" applyBorder="1" applyAlignment="1">
      <alignment horizontal="center" vertical="center" textRotation="90"/>
    </xf>
    <xf numFmtId="0" fontId="13" fillId="6" borderId="3" xfId="0" applyFont="1" applyFill="1" applyBorder="1"/>
    <xf numFmtId="0" fontId="14" fillId="6" borderId="3" xfId="0" applyFont="1" applyFill="1" applyBorder="1" applyAlignment="1">
      <alignment wrapText="1"/>
    </xf>
    <xf numFmtId="0" fontId="6" fillId="6" borderId="3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0" fontId="5" fillId="8" borderId="8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43" fontId="0" fillId="0" borderId="0" xfId="1" applyFont="1" applyAlignment="1"/>
    <xf numFmtId="0" fontId="9" fillId="2" borderId="3" xfId="0" applyFont="1" applyFill="1" applyBorder="1"/>
    <xf numFmtId="0" fontId="5" fillId="0" borderId="3" xfId="0" applyFont="1" applyBorder="1" applyAlignment="1">
      <alignment horizontal="left" wrapText="1"/>
    </xf>
    <xf numFmtId="0" fontId="5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2" borderId="2" xfId="0" applyFont="1" applyFill="1" applyBorder="1" applyAlignment="1">
      <alignment horizontal="center" textRotation="90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4" borderId="4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 vertical="center" textRotation="90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 textRotation="90"/>
    </xf>
    <xf numFmtId="0" fontId="15" fillId="0" borderId="2" xfId="0" applyFont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14" fillId="0" borderId="7" xfId="0" applyFont="1" applyBorder="1" applyAlignment="1">
      <alignment wrapText="1"/>
    </xf>
    <xf numFmtId="0" fontId="5" fillId="2" borderId="2" xfId="0" applyFont="1" applyFill="1" applyBorder="1" applyAlignment="1">
      <alignment vertical="center" textRotation="90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15" fillId="0" borderId="0" xfId="0" applyFont="1" applyBorder="1" applyAlignment="1">
      <alignment horizontal="center" vertical="center" textRotation="90"/>
    </xf>
    <xf numFmtId="0" fontId="18" fillId="0" borderId="3" xfId="0" applyFont="1" applyBorder="1"/>
    <xf numFmtId="0" fontId="19" fillId="0" borderId="3" xfId="0" applyFont="1" applyBorder="1" applyAlignment="1">
      <alignment wrapText="1"/>
    </xf>
    <xf numFmtId="0" fontId="18" fillId="0" borderId="3" xfId="0" applyFont="1" applyBorder="1" applyAlignment="1">
      <alignment wrapText="1"/>
    </xf>
    <xf numFmtId="0" fontId="18" fillId="12" borderId="3" xfId="0" applyFont="1" applyFill="1" applyBorder="1" applyAlignment="1">
      <alignment wrapText="1"/>
    </xf>
    <xf numFmtId="0" fontId="18" fillId="4" borderId="3" xfId="0" applyFont="1" applyFill="1" applyBorder="1"/>
    <xf numFmtId="0" fontId="20" fillId="0" borderId="3" xfId="0" applyFont="1" applyBorder="1" applyAlignment="1">
      <alignment wrapText="1"/>
    </xf>
    <xf numFmtId="0" fontId="18" fillId="12" borderId="3" xfId="0" applyFont="1" applyFill="1" applyBorder="1"/>
    <xf numFmtId="0" fontId="17" fillId="0" borderId="0" xfId="0" applyFont="1"/>
    <xf numFmtId="0" fontId="18" fillId="0" borderId="0" xfId="0" applyFont="1" applyAlignment="1">
      <alignment wrapText="1"/>
    </xf>
    <xf numFmtId="0" fontId="21" fillId="0" borderId="3" xfId="0" applyFont="1" applyBorder="1" applyAlignment="1">
      <alignment wrapText="1"/>
    </xf>
    <xf numFmtId="0" fontId="22" fillId="0" borderId="3" xfId="0" applyFont="1" applyBorder="1"/>
    <xf numFmtId="0" fontId="22" fillId="4" borderId="3" xfId="0" applyFont="1" applyFill="1" applyBorder="1"/>
    <xf numFmtId="0" fontId="22" fillId="3" borderId="3" xfId="0" applyFont="1" applyFill="1" applyBorder="1"/>
    <xf numFmtId="0" fontId="22" fillId="5" borderId="3" xfId="0" applyFont="1" applyFill="1" applyBorder="1"/>
    <xf numFmtId="0" fontId="22" fillId="0" borderId="0" xfId="0" applyFont="1"/>
    <xf numFmtId="0" fontId="22" fillId="3" borderId="4" xfId="0" applyFont="1" applyFill="1" applyBorder="1"/>
    <xf numFmtId="0" fontId="18" fillId="3" borderId="3" xfId="0" applyFont="1" applyFill="1" applyBorder="1" applyAlignment="1">
      <alignment wrapText="1"/>
    </xf>
    <xf numFmtId="0" fontId="23" fillId="0" borderId="3" xfId="0" applyFont="1" applyBorder="1" applyAlignment="1">
      <alignment wrapText="1"/>
    </xf>
    <xf numFmtId="0" fontId="23" fillId="0" borderId="3" xfId="0" applyFont="1" applyBorder="1" applyAlignment="1"/>
    <xf numFmtId="0" fontId="24" fillId="0" borderId="0" xfId="0" applyFont="1"/>
    <xf numFmtId="0" fontId="25" fillId="0" borderId="0" xfId="0" applyFont="1"/>
    <xf numFmtId="2" fontId="25" fillId="0" borderId="0" xfId="0" applyNumberFormat="1" applyFont="1"/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 wrapText="1"/>
    </xf>
    <xf numFmtId="0" fontId="27" fillId="0" borderId="0" xfId="0" applyFont="1"/>
    <xf numFmtId="0" fontId="24" fillId="0" borderId="0" xfId="0" applyFont="1" applyAlignment="1">
      <alignment vertical="center" textRotation="90"/>
    </xf>
    <xf numFmtId="0" fontId="28" fillId="0" borderId="0" xfId="0" applyFont="1" applyAlignment="1">
      <alignment wrapText="1"/>
    </xf>
    <xf numFmtId="2" fontId="28" fillId="0" borderId="0" xfId="0" applyNumberFormat="1" applyFont="1" applyAlignment="1">
      <alignment wrapText="1"/>
    </xf>
    <xf numFmtId="0" fontId="24" fillId="0" borderId="0" xfId="0" applyFont="1" applyAlignment="1">
      <alignment horizontal="center" vertical="center" textRotation="90"/>
    </xf>
    <xf numFmtId="0" fontId="24" fillId="0" borderId="2" xfId="0" applyFont="1" applyBorder="1" applyAlignment="1">
      <alignment horizontal="center" vertical="center" textRotation="90"/>
    </xf>
    <xf numFmtId="0" fontId="17" fillId="0" borderId="3" xfId="0" applyFont="1" applyBorder="1" applyAlignment="1">
      <alignment vertical="center"/>
    </xf>
    <xf numFmtId="0" fontId="29" fillId="0" borderId="3" xfId="0" applyFont="1" applyBorder="1" applyAlignment="1">
      <alignment vertical="center"/>
    </xf>
    <xf numFmtId="0" fontId="18" fillId="0" borderId="1" xfId="0" applyFont="1" applyBorder="1" applyAlignment="1">
      <alignment horizontal="center"/>
    </xf>
    <xf numFmtId="0" fontId="18" fillId="0" borderId="0" xfId="0" applyFont="1"/>
    <xf numFmtId="16" fontId="18" fillId="0" borderId="0" xfId="0" applyNumberFormat="1" applyFont="1"/>
    <xf numFmtId="2" fontId="25" fillId="0" borderId="0" xfId="0" applyNumberFormat="1" applyFont="1" applyAlignment="1">
      <alignment horizontal="center"/>
    </xf>
    <xf numFmtId="0" fontId="30" fillId="0" borderId="3" xfId="0" applyFont="1" applyBorder="1" applyAlignment="1">
      <alignment vertical="center" wrapText="1"/>
    </xf>
    <xf numFmtId="0" fontId="31" fillId="0" borderId="3" xfId="0" applyFont="1" applyBorder="1" applyAlignment="1">
      <alignment vertical="center" wrapText="1"/>
    </xf>
    <xf numFmtId="0" fontId="17" fillId="3" borderId="0" xfId="0" applyFont="1" applyFill="1"/>
    <xf numFmtId="0" fontId="18" fillId="3" borderId="0" xfId="0" applyFont="1" applyFill="1" applyAlignment="1">
      <alignment horizontal="center"/>
    </xf>
    <xf numFmtId="0" fontId="17" fillId="0" borderId="0" xfId="0" applyFont="1" applyAlignment="1">
      <alignment wrapText="1"/>
    </xf>
    <xf numFmtId="0" fontId="32" fillId="0" borderId="3" xfId="0" applyFont="1" applyBorder="1" applyAlignment="1">
      <alignment vertical="center" wrapText="1"/>
    </xf>
    <xf numFmtId="16" fontId="18" fillId="0" borderId="0" xfId="0" applyNumberFormat="1" applyFont="1" applyAlignment="1">
      <alignment horizontal="center"/>
    </xf>
    <xf numFmtId="0" fontId="17" fillId="4" borderId="3" xfId="0" applyFont="1" applyFill="1" applyBorder="1" applyAlignment="1">
      <alignment vertical="center"/>
    </xf>
    <xf numFmtId="0" fontId="30" fillId="11" borderId="3" xfId="0" applyFont="1" applyFill="1" applyBorder="1" applyAlignment="1">
      <alignment vertical="center" wrapText="1"/>
    </xf>
    <xf numFmtId="0" fontId="30" fillId="4" borderId="3" xfId="0" applyFont="1" applyFill="1" applyBorder="1" applyAlignment="1">
      <alignment vertical="center"/>
    </xf>
    <xf numFmtId="16" fontId="18" fillId="3" borderId="0" xfId="0" applyNumberFormat="1" applyFont="1" applyFill="1" applyAlignment="1">
      <alignment horizontal="center" wrapText="1"/>
    </xf>
    <xf numFmtId="16" fontId="17" fillId="0" borderId="0" xfId="0" applyNumberFormat="1" applyFont="1"/>
    <xf numFmtId="0" fontId="17" fillId="3" borderId="3" xfId="0" applyFont="1" applyFill="1" applyBorder="1" applyAlignment="1">
      <alignment vertical="center"/>
    </xf>
    <xf numFmtId="16" fontId="18" fillId="0" borderId="0" xfId="0" applyNumberFormat="1" applyFont="1" applyAlignment="1">
      <alignment horizontal="center" wrapText="1"/>
    </xf>
    <xf numFmtId="0" fontId="17" fillId="5" borderId="3" xfId="0" applyFont="1" applyFill="1" applyBorder="1" applyAlignment="1">
      <alignment vertical="center"/>
    </xf>
    <xf numFmtId="0" fontId="17" fillId="13" borderId="0" xfId="0" applyFont="1" applyFill="1"/>
    <xf numFmtId="16" fontId="18" fillId="13" borderId="0" xfId="0" applyNumberFormat="1" applyFont="1" applyFill="1" applyAlignment="1">
      <alignment horizontal="center" wrapText="1"/>
    </xf>
    <xf numFmtId="16" fontId="18" fillId="13" borderId="0" xfId="0" applyNumberFormat="1" applyFont="1" applyFill="1"/>
    <xf numFmtId="16" fontId="17" fillId="13" borderId="0" xfId="0" applyNumberFormat="1" applyFont="1" applyFill="1"/>
    <xf numFmtId="0" fontId="17" fillId="6" borderId="3" xfId="0" applyFont="1" applyFill="1" applyBorder="1" applyAlignment="1">
      <alignment vertical="center"/>
    </xf>
    <xf numFmtId="0" fontId="29" fillId="6" borderId="3" xfId="0" applyFont="1" applyFill="1" applyBorder="1" applyAlignment="1">
      <alignment vertical="center"/>
    </xf>
    <xf numFmtId="0" fontId="29" fillId="0" borderId="3" xfId="0" applyFont="1" applyBorder="1" applyAlignment="1">
      <alignment vertical="center" wrapText="1"/>
    </xf>
    <xf numFmtId="0" fontId="17" fillId="6" borderId="0" xfId="0" applyFont="1" applyFill="1"/>
    <xf numFmtId="2" fontId="22" fillId="6" borderId="0" xfId="0" applyNumberFormat="1" applyFont="1" applyFill="1"/>
    <xf numFmtId="0" fontId="22" fillId="6" borderId="0" xfId="0" applyFont="1" applyFill="1"/>
    <xf numFmtId="0" fontId="30" fillId="12" borderId="3" xfId="0" applyFont="1" applyFill="1" applyBorder="1" applyAlignment="1">
      <alignment vertical="center" wrapText="1"/>
    </xf>
    <xf numFmtId="0" fontId="30" fillId="12" borderId="3" xfId="0" applyFont="1" applyFill="1" applyBorder="1" applyAlignment="1">
      <alignment vertical="center"/>
    </xf>
    <xf numFmtId="0" fontId="30" fillId="4" borderId="3" xfId="0" applyFont="1" applyFill="1" applyBorder="1" applyAlignment="1">
      <alignment vertical="center" wrapText="1"/>
    </xf>
    <xf numFmtId="0" fontId="18" fillId="13" borderId="0" xfId="0" applyFont="1" applyFill="1"/>
    <xf numFmtId="0" fontId="30" fillId="9" borderId="3" xfId="0" applyFont="1" applyFill="1" applyBorder="1" applyAlignment="1">
      <alignment vertical="center" wrapText="1"/>
    </xf>
    <xf numFmtId="16" fontId="18" fillId="13" borderId="0" xfId="0" applyNumberFormat="1" applyFont="1" applyFill="1" applyAlignment="1">
      <alignment horizontal="center"/>
    </xf>
    <xf numFmtId="0" fontId="17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25" fillId="13" borderId="0" xfId="0" applyFont="1" applyFill="1"/>
    <xf numFmtId="0" fontId="33" fillId="0" borderId="3" xfId="0" applyFont="1" applyBorder="1" applyAlignment="1">
      <alignment vertical="center" wrapText="1"/>
    </xf>
    <xf numFmtId="0" fontId="30" fillId="3" borderId="3" xfId="0" applyFont="1" applyFill="1" applyBorder="1" applyAlignment="1">
      <alignment vertical="center" wrapText="1"/>
    </xf>
    <xf numFmtId="0" fontId="24" fillId="0" borderId="0" xfId="0" applyFont="1" applyAlignment="1">
      <alignment horizontal="center" vertical="center" textRotation="90"/>
    </xf>
    <xf numFmtId="0" fontId="17" fillId="6" borderId="0" xfId="0" applyFont="1" applyFill="1" applyAlignment="1">
      <alignment vertical="center" wrapText="1"/>
    </xf>
    <xf numFmtId="0" fontId="30" fillId="6" borderId="0" xfId="0" applyFont="1" applyFill="1" applyAlignment="1">
      <alignment vertical="center" wrapText="1"/>
    </xf>
    <xf numFmtId="0" fontId="17" fillId="3" borderId="4" xfId="0" applyFont="1" applyFill="1" applyBorder="1" applyAlignment="1">
      <alignment vertical="center"/>
    </xf>
    <xf numFmtId="0" fontId="28" fillId="0" borderId="0" xfId="0" applyFont="1"/>
    <xf numFmtId="2" fontId="28" fillId="0" borderId="0" xfId="0" applyNumberFormat="1" applyFont="1"/>
    <xf numFmtId="0" fontId="30" fillId="0" borderId="0" xfId="0" applyFont="1" applyAlignment="1">
      <alignment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2F561-270D-4F43-A944-CA5946CCB3AA}">
  <sheetPr>
    <tabColor theme="9" tint="-0.249977111117893"/>
  </sheetPr>
  <dimension ref="A2:S136"/>
  <sheetViews>
    <sheetView showGridLines="0" topLeftCell="A32" zoomScaleNormal="100" workbookViewId="0">
      <selection activeCell="D82" sqref="D82"/>
    </sheetView>
  </sheetViews>
  <sheetFormatPr baseColWidth="10" defaultColWidth="9.125" defaultRowHeight="15.75" outlineLevelCol="1" x14ac:dyDescent="0.25"/>
  <cols>
    <col min="2" max="2" width="14.625" customWidth="1"/>
    <col min="3" max="3" width="12.625" customWidth="1"/>
    <col min="4" max="4" width="16.375" customWidth="1" outlineLevel="1"/>
    <col min="5" max="5" width="15.5" customWidth="1" outlineLevel="1"/>
    <col min="6" max="6" width="16.125" customWidth="1" outlineLevel="1"/>
    <col min="7" max="7" width="15.5" customWidth="1" outlineLevel="1"/>
    <col min="8" max="8" width="13.875" customWidth="1" outlineLevel="1"/>
    <col min="9" max="9" width="15.5" bestFit="1" customWidth="1"/>
    <col min="10" max="10" width="22.5" customWidth="1"/>
    <col min="11" max="11" width="16.875" customWidth="1"/>
    <col min="12" max="12" width="11.125" customWidth="1"/>
    <col min="13" max="13" width="10.125" bestFit="1" customWidth="1"/>
    <col min="14" max="15" width="17.375" customWidth="1"/>
    <col min="16" max="16" width="10" customWidth="1"/>
    <col min="17" max="17" width="9.625" customWidth="1"/>
    <col min="18" max="18" width="7.375" bestFit="1" customWidth="1"/>
    <col min="19" max="19" width="8.125" bestFit="1" customWidth="1"/>
    <col min="21" max="24" width="6.5" customWidth="1"/>
  </cols>
  <sheetData>
    <row r="2" spans="1:19" ht="21" customHeight="1" x14ac:dyDescent="0.35">
      <c r="B2" s="102" t="s">
        <v>0</v>
      </c>
      <c r="C2" s="102"/>
      <c r="D2" s="102"/>
      <c r="E2" s="102"/>
      <c r="F2" s="102"/>
      <c r="G2" s="102"/>
      <c r="H2" s="102"/>
      <c r="I2" s="102"/>
      <c r="K2" s="1"/>
    </row>
    <row r="3" spans="1:19" ht="18.75" customHeight="1" x14ac:dyDescent="0.3">
      <c r="B3" s="103" t="s">
        <v>38</v>
      </c>
      <c r="C3" s="103"/>
      <c r="D3" s="103"/>
      <c r="E3" s="103"/>
      <c r="F3" s="103"/>
      <c r="G3" s="103"/>
      <c r="H3" s="103"/>
      <c r="I3" s="103"/>
      <c r="K3" s="1"/>
    </row>
    <row r="4" spans="1:19" x14ac:dyDescent="0.25">
      <c r="O4" s="2"/>
    </row>
    <row r="5" spans="1:19" ht="18.75" x14ac:dyDescent="0.3">
      <c r="B5" s="3" t="s">
        <v>1</v>
      </c>
      <c r="N5" t="s">
        <v>39</v>
      </c>
    </row>
    <row r="6" spans="1:19" x14ac:dyDescent="0.25">
      <c r="L6" s="4"/>
      <c r="N6" s="53" t="s">
        <v>40</v>
      </c>
      <c r="O6" s="53" t="s">
        <v>41</v>
      </c>
      <c r="P6" s="4" t="s">
        <v>42</v>
      </c>
      <c r="Q6" s="4" t="s">
        <v>43</v>
      </c>
      <c r="R6" s="44">
        <v>46143</v>
      </c>
      <c r="S6" t="s">
        <v>45</v>
      </c>
    </row>
    <row r="7" spans="1:19" x14ac:dyDescent="0.25">
      <c r="A7" s="111" t="s">
        <v>2</v>
      </c>
      <c r="B7" s="6" t="s">
        <v>3</v>
      </c>
      <c r="C7" s="6" t="s">
        <v>49</v>
      </c>
      <c r="D7" s="6" t="s">
        <v>48</v>
      </c>
      <c r="E7" s="6" t="s">
        <v>47</v>
      </c>
      <c r="F7" s="6" t="s">
        <v>50</v>
      </c>
      <c r="G7" s="6" t="s">
        <v>51</v>
      </c>
      <c r="H7" s="6" t="s">
        <v>74</v>
      </c>
      <c r="I7" s="6" t="s">
        <v>75</v>
      </c>
      <c r="L7" s="4"/>
      <c r="M7" s="7" t="s">
        <v>4</v>
      </c>
      <c r="N7" s="8"/>
      <c r="O7" s="8"/>
      <c r="P7" s="4"/>
      <c r="Q7" s="4"/>
      <c r="S7">
        <v>0</v>
      </c>
    </row>
    <row r="8" spans="1:19" x14ac:dyDescent="0.25">
      <c r="A8" s="111"/>
      <c r="B8" s="133" t="s">
        <v>5</v>
      </c>
      <c r="C8" s="9" t="s">
        <v>6</v>
      </c>
      <c r="D8" s="9" t="s">
        <v>6</v>
      </c>
      <c r="E8" s="9" t="s">
        <v>6</v>
      </c>
      <c r="F8" s="9" t="s">
        <v>6</v>
      </c>
      <c r="G8" s="9" t="s">
        <v>6</v>
      </c>
      <c r="H8" s="9" t="s">
        <v>6</v>
      </c>
      <c r="I8" s="56" t="s">
        <v>6</v>
      </c>
      <c r="K8" s="11"/>
      <c r="L8" s="11"/>
      <c r="M8" t="s">
        <v>7</v>
      </c>
      <c r="N8" s="12">
        <v>46101</v>
      </c>
      <c r="O8" s="12" t="s">
        <v>46</v>
      </c>
      <c r="P8" s="12" t="s">
        <v>46</v>
      </c>
      <c r="Q8" s="12" t="s">
        <v>46</v>
      </c>
      <c r="R8" s="12" t="s">
        <v>46</v>
      </c>
      <c r="S8">
        <v>0</v>
      </c>
    </row>
    <row r="9" spans="1:19" x14ac:dyDescent="0.25">
      <c r="A9" s="111"/>
      <c r="B9" s="134"/>
      <c r="C9" s="56" t="s">
        <v>7</v>
      </c>
      <c r="D9" s="9" t="s">
        <v>10</v>
      </c>
      <c r="E9" s="56" t="s">
        <v>7</v>
      </c>
      <c r="F9" s="56" t="s">
        <v>7</v>
      </c>
      <c r="G9" s="56" t="s">
        <v>7</v>
      </c>
      <c r="H9" s="56" t="s">
        <v>9</v>
      </c>
      <c r="I9" s="9" t="s">
        <v>9</v>
      </c>
      <c r="K9" s="11"/>
      <c r="L9" s="11"/>
      <c r="M9" s="7" t="s">
        <v>10</v>
      </c>
      <c r="N9" s="13">
        <v>46095</v>
      </c>
      <c r="O9" s="13">
        <v>46122</v>
      </c>
      <c r="P9" s="44">
        <v>46143</v>
      </c>
      <c r="Q9" s="44">
        <v>46151</v>
      </c>
      <c r="R9" s="42">
        <v>46193</v>
      </c>
      <c r="S9">
        <v>0</v>
      </c>
    </row>
    <row r="10" spans="1:19" x14ac:dyDescent="0.25">
      <c r="A10" s="111"/>
      <c r="B10" s="134"/>
      <c r="C10" s="9" t="s">
        <v>9</v>
      </c>
      <c r="D10" s="9" t="s">
        <v>9</v>
      </c>
      <c r="E10" s="56" t="s">
        <v>9</v>
      </c>
      <c r="F10" s="54" t="s">
        <v>9</v>
      </c>
      <c r="G10" s="54" t="s">
        <v>9</v>
      </c>
      <c r="H10" s="9" t="s">
        <v>8</v>
      </c>
      <c r="I10" s="9" t="s">
        <v>8</v>
      </c>
      <c r="K10" s="11"/>
      <c r="L10" s="11"/>
      <c r="M10" t="s">
        <v>9</v>
      </c>
      <c r="N10" s="14">
        <v>46094</v>
      </c>
      <c r="O10" s="14">
        <v>46123</v>
      </c>
      <c r="P10" s="44">
        <v>46137</v>
      </c>
      <c r="Q10" s="44">
        <v>46171</v>
      </c>
      <c r="R10" s="42">
        <v>46179</v>
      </c>
      <c r="S10">
        <v>0</v>
      </c>
    </row>
    <row r="11" spans="1:19" x14ac:dyDescent="0.25">
      <c r="A11" s="111"/>
      <c r="B11" s="134"/>
      <c r="C11" s="56" t="s">
        <v>11</v>
      </c>
      <c r="D11" s="56" t="s">
        <v>11</v>
      </c>
      <c r="E11" s="9" t="s">
        <v>11</v>
      </c>
      <c r="F11" s="9" t="s">
        <v>8</v>
      </c>
      <c r="G11" s="9" t="s">
        <v>8</v>
      </c>
      <c r="H11" s="9"/>
      <c r="I11" s="9"/>
      <c r="K11" s="11"/>
      <c r="L11" s="11"/>
      <c r="M11" s="7" t="s">
        <v>11</v>
      </c>
      <c r="N11" s="13">
        <v>46102</v>
      </c>
      <c r="O11" s="13">
        <v>46136</v>
      </c>
      <c r="P11" s="44">
        <v>46150</v>
      </c>
      <c r="Q11" s="44">
        <v>46164</v>
      </c>
      <c r="R11" s="42">
        <v>46165</v>
      </c>
      <c r="S11">
        <v>0</v>
      </c>
    </row>
    <row r="12" spans="1:19" x14ac:dyDescent="0.25">
      <c r="A12" s="111"/>
      <c r="B12" s="135"/>
      <c r="C12" s="9" t="s">
        <v>16</v>
      </c>
      <c r="D12" s="56" t="s">
        <v>14</v>
      </c>
      <c r="E12" s="56" t="s">
        <v>14</v>
      </c>
      <c r="F12" s="9" t="s">
        <v>14</v>
      </c>
      <c r="G12" s="9" t="s">
        <v>14</v>
      </c>
      <c r="H12" s="9" t="s">
        <v>14</v>
      </c>
      <c r="I12" s="9" t="s">
        <v>14</v>
      </c>
      <c r="K12" s="11"/>
      <c r="L12" s="11"/>
      <c r="M12" t="s">
        <v>8</v>
      </c>
      <c r="N12" s="14">
        <v>46108</v>
      </c>
      <c r="O12" s="14">
        <v>46129</v>
      </c>
      <c r="P12" s="44">
        <v>46115</v>
      </c>
      <c r="Q12" s="44">
        <v>46158</v>
      </c>
      <c r="R12" s="42">
        <v>46186</v>
      </c>
      <c r="S12">
        <v>0</v>
      </c>
    </row>
    <row r="13" spans="1:19" x14ac:dyDescent="0.25">
      <c r="A13" s="111"/>
      <c r="B13" s="16"/>
      <c r="C13" s="9"/>
      <c r="D13" s="56"/>
      <c r="E13" s="9" t="s">
        <v>10</v>
      </c>
      <c r="F13" s="9"/>
      <c r="G13" s="17"/>
      <c r="H13" s="9"/>
      <c r="I13" s="9"/>
      <c r="K13" s="11"/>
      <c r="L13" s="11"/>
      <c r="N13" s="14"/>
      <c r="O13" s="14"/>
      <c r="P13" s="44"/>
      <c r="Q13" s="44"/>
      <c r="R13" s="42"/>
    </row>
    <row r="14" spans="1:19" x14ac:dyDescent="0.25">
      <c r="A14" s="111"/>
      <c r="B14" s="18" t="s">
        <v>12</v>
      </c>
      <c r="C14" s="30"/>
      <c r="D14" s="30"/>
      <c r="E14" s="18" t="s">
        <v>14</v>
      </c>
      <c r="F14" s="30"/>
      <c r="G14" s="20" t="s">
        <v>9</v>
      </c>
      <c r="H14" s="63" t="s">
        <v>9</v>
      </c>
      <c r="I14" s="20" t="s">
        <v>6</v>
      </c>
      <c r="M14" s="7" t="s">
        <v>13</v>
      </c>
      <c r="N14" s="13">
        <v>46084</v>
      </c>
      <c r="O14" s="13">
        <v>46115</v>
      </c>
      <c r="P14" s="44">
        <v>46130</v>
      </c>
      <c r="Q14" s="44">
        <v>46116</v>
      </c>
      <c r="R14" s="42">
        <v>46172</v>
      </c>
      <c r="S14">
        <v>0</v>
      </c>
    </row>
    <row r="15" spans="1:19" x14ac:dyDescent="0.25">
      <c r="A15" s="111"/>
      <c r="B15" s="18"/>
      <c r="C15" s="30"/>
      <c r="D15" s="30"/>
      <c r="E15" s="30"/>
      <c r="F15" s="30"/>
      <c r="G15" s="30"/>
      <c r="H15" s="30"/>
      <c r="I15" s="30"/>
      <c r="M15" s="7"/>
      <c r="N15" s="13"/>
      <c r="O15" s="13"/>
      <c r="P15" s="4"/>
      <c r="Q15" s="4"/>
    </row>
    <row r="16" spans="1:19" x14ac:dyDescent="0.25">
      <c r="A16" s="111"/>
      <c r="B16" s="18"/>
      <c r="C16" s="58"/>
      <c r="D16" s="58"/>
      <c r="E16" s="58"/>
      <c r="F16" s="30"/>
      <c r="G16" s="60"/>
      <c r="H16" s="59"/>
      <c r="I16" s="30"/>
      <c r="M16" t="s">
        <v>14</v>
      </c>
      <c r="N16" s="12">
        <v>46109</v>
      </c>
      <c r="O16" s="12">
        <v>46110</v>
      </c>
      <c r="P16" s="44">
        <v>46116</v>
      </c>
      <c r="Q16" s="42">
        <v>46157</v>
      </c>
      <c r="R16" s="42">
        <v>46174</v>
      </c>
      <c r="S16">
        <v>0</v>
      </c>
    </row>
    <row r="17" spans="1:19" x14ac:dyDescent="0.25">
      <c r="A17" s="111"/>
      <c r="B17" s="22" t="s">
        <v>15</v>
      </c>
      <c r="C17" s="58"/>
      <c r="D17" s="58"/>
      <c r="E17" s="58"/>
      <c r="F17" s="58"/>
      <c r="G17" s="28"/>
      <c r="H17" s="28"/>
      <c r="I17" s="30"/>
      <c r="M17" s="7" t="s">
        <v>16</v>
      </c>
      <c r="N17" s="24">
        <v>46088</v>
      </c>
      <c r="O17" s="24">
        <v>46116</v>
      </c>
      <c r="P17" s="44">
        <v>46144</v>
      </c>
      <c r="Q17" s="44">
        <v>46115</v>
      </c>
      <c r="R17" s="42">
        <v>46137</v>
      </c>
      <c r="S17">
        <v>0</v>
      </c>
    </row>
    <row r="18" spans="1:19" x14ac:dyDescent="0.25">
      <c r="A18" s="111"/>
      <c r="B18" s="22"/>
      <c r="C18" s="30"/>
      <c r="D18" s="30"/>
      <c r="E18" s="30"/>
      <c r="F18" s="30"/>
      <c r="G18" s="28"/>
      <c r="H18" s="58"/>
      <c r="I18" s="55"/>
      <c r="M18" s="7"/>
      <c r="N18" s="24"/>
      <c r="O18" s="24"/>
      <c r="P18" s="4"/>
      <c r="Q18" s="4"/>
    </row>
    <row r="19" spans="1:19" x14ac:dyDescent="0.25">
      <c r="A19" s="111"/>
      <c r="B19" s="25" t="s">
        <v>17</v>
      </c>
      <c r="C19" s="9"/>
      <c r="D19" s="9"/>
      <c r="E19" s="9"/>
      <c r="F19" s="9"/>
      <c r="G19" s="9"/>
      <c r="H19" s="9"/>
      <c r="I19" s="9"/>
      <c r="L19" s="11"/>
      <c r="N19" s="4"/>
      <c r="O19" s="4"/>
      <c r="P19" s="4"/>
      <c r="Q19" s="4"/>
    </row>
    <row r="20" spans="1:19" x14ac:dyDescent="0.25">
      <c r="A20" s="111"/>
      <c r="B20" s="133" t="s">
        <v>18</v>
      </c>
      <c r="C20" s="56" t="s">
        <v>16</v>
      </c>
      <c r="D20" s="54" t="s">
        <v>16</v>
      </c>
      <c r="E20" s="9" t="s">
        <v>16</v>
      </c>
      <c r="F20" s="9" t="s">
        <v>16</v>
      </c>
      <c r="G20" s="9" t="s">
        <v>16</v>
      </c>
      <c r="H20" s="9" t="s">
        <v>16</v>
      </c>
      <c r="I20" s="61" t="s">
        <v>16</v>
      </c>
      <c r="L20" s="11"/>
    </row>
    <row r="21" spans="1:19" x14ac:dyDescent="0.25">
      <c r="A21" s="111"/>
      <c r="B21" s="134"/>
      <c r="C21" s="9" t="s">
        <v>10</v>
      </c>
      <c r="D21" s="56" t="s">
        <v>10</v>
      </c>
      <c r="E21" s="56" t="s">
        <v>10</v>
      </c>
      <c r="F21" s="54" t="s">
        <v>10</v>
      </c>
      <c r="G21" s="9" t="s">
        <v>10</v>
      </c>
      <c r="H21" s="9" t="s">
        <v>10</v>
      </c>
      <c r="I21" s="9" t="s">
        <v>10</v>
      </c>
      <c r="L21" s="11"/>
    </row>
    <row r="22" spans="1:19" x14ac:dyDescent="0.25">
      <c r="A22" s="111"/>
      <c r="B22" s="134"/>
      <c r="C22" s="9" t="s">
        <v>8</v>
      </c>
      <c r="D22" s="9" t="s">
        <v>8</v>
      </c>
      <c r="E22" s="9" t="s">
        <v>8</v>
      </c>
      <c r="F22" s="9" t="s">
        <v>11</v>
      </c>
      <c r="G22" s="9" t="s">
        <v>11</v>
      </c>
      <c r="H22" s="9" t="s">
        <v>11</v>
      </c>
      <c r="I22" s="56" t="s">
        <v>11</v>
      </c>
      <c r="K22" s="26"/>
      <c r="L22" s="11"/>
    </row>
    <row r="23" spans="1:19" x14ac:dyDescent="0.25">
      <c r="A23" s="111"/>
      <c r="B23" s="134"/>
      <c r="C23" s="9" t="s">
        <v>11</v>
      </c>
      <c r="D23" s="57" t="s">
        <v>11</v>
      </c>
      <c r="E23" s="9" t="s">
        <v>9</v>
      </c>
      <c r="F23" s="9" t="s">
        <v>9</v>
      </c>
      <c r="G23" s="9"/>
      <c r="H23" s="62" t="s">
        <v>7</v>
      </c>
      <c r="I23" s="62" t="s">
        <v>7</v>
      </c>
      <c r="K23" s="26"/>
      <c r="L23" s="11"/>
    </row>
    <row r="24" spans="1:19" x14ac:dyDescent="0.25">
      <c r="A24" s="111"/>
      <c r="B24" s="135"/>
      <c r="C24" s="89" t="s">
        <v>14</v>
      </c>
      <c r="D24" s="57" t="s">
        <v>14</v>
      </c>
      <c r="E24" s="61"/>
      <c r="F24" s="61"/>
      <c r="G24" s="61"/>
      <c r="H24" s="56" t="s">
        <v>14</v>
      </c>
      <c r="I24" s="56" t="s">
        <v>14</v>
      </c>
      <c r="K24" s="26"/>
      <c r="L24" s="11"/>
    </row>
    <row r="25" spans="1:19" x14ac:dyDescent="0.25">
      <c r="A25" s="111"/>
      <c r="B25" s="136" t="s">
        <v>12</v>
      </c>
      <c r="C25" s="63" t="s">
        <v>14</v>
      </c>
      <c r="D25" s="20" t="s">
        <v>16</v>
      </c>
      <c r="E25" s="27"/>
      <c r="F25" s="18" t="s">
        <v>10</v>
      </c>
      <c r="G25" s="27"/>
      <c r="H25" s="29"/>
      <c r="I25" s="20" t="s">
        <v>11</v>
      </c>
      <c r="K25" s="26"/>
    </row>
    <row r="26" spans="1:19" x14ac:dyDescent="0.25">
      <c r="A26" s="111"/>
      <c r="B26" s="137"/>
      <c r="C26" s="28"/>
      <c r="D26" s="27"/>
      <c r="E26" s="27"/>
      <c r="F26" s="27"/>
      <c r="G26" s="27"/>
      <c r="H26" s="29"/>
      <c r="I26" s="55"/>
      <c r="K26" s="26"/>
    </row>
    <row r="27" spans="1:19" x14ac:dyDescent="0.25">
      <c r="A27" s="111"/>
      <c r="B27" s="138"/>
      <c r="C27" s="19"/>
      <c r="D27" s="30"/>
      <c r="E27" s="27"/>
      <c r="F27" s="27"/>
      <c r="G27" s="27"/>
      <c r="H27" s="27"/>
      <c r="I27" s="30"/>
      <c r="K27" s="26"/>
    </row>
    <row r="28" spans="1:19" x14ac:dyDescent="0.25">
      <c r="A28" s="111"/>
      <c r="B28" s="22" t="s">
        <v>15</v>
      </c>
      <c r="C28" s="58"/>
      <c r="D28" s="58"/>
      <c r="E28" s="27"/>
      <c r="F28" s="30"/>
      <c r="G28" s="60"/>
      <c r="H28" s="59"/>
      <c r="I28" s="30"/>
      <c r="K28" s="26"/>
    </row>
    <row r="29" spans="1:19" x14ac:dyDescent="0.25">
      <c r="A29" s="111"/>
      <c r="B29" s="22"/>
      <c r="C29" s="58"/>
      <c r="D29" s="58"/>
      <c r="E29" s="58"/>
      <c r="F29" s="58"/>
      <c r="G29" s="28"/>
      <c r="H29" s="28"/>
      <c r="I29" s="30"/>
      <c r="K29" s="26"/>
    </row>
    <row r="30" spans="1:19" x14ac:dyDescent="0.25">
      <c r="A30" s="111"/>
      <c r="B30" s="25" t="s">
        <v>17</v>
      </c>
      <c r="C30" s="30"/>
      <c r="D30" s="30"/>
      <c r="E30" s="30"/>
      <c r="F30" s="30"/>
      <c r="G30" s="28"/>
      <c r="H30" s="58"/>
      <c r="I30" s="55"/>
      <c r="K30" s="26"/>
    </row>
    <row r="31" spans="1:19" x14ac:dyDescent="0.25">
      <c r="B31" s="4"/>
      <c r="C31" s="15">
        <f t="shared" ref="C31:H31" si="0">COUNTA(C8:C12,C20:C24)</f>
        <v>10</v>
      </c>
      <c r="D31" s="15">
        <f t="shared" si="0"/>
        <v>10</v>
      </c>
      <c r="E31" s="15">
        <f t="shared" si="0"/>
        <v>9</v>
      </c>
      <c r="F31" s="15">
        <f t="shared" si="0"/>
        <v>9</v>
      </c>
      <c r="G31" s="15">
        <f t="shared" si="0"/>
        <v>8</v>
      </c>
      <c r="H31" s="15">
        <f t="shared" si="0"/>
        <v>9</v>
      </c>
      <c r="I31" s="15">
        <f>COUNTA(I8:I12,I20:I26)</f>
        <v>10</v>
      </c>
      <c r="K31" s="26"/>
    </row>
    <row r="32" spans="1:19" x14ac:dyDescent="0.25">
      <c r="A32" s="111" t="s">
        <v>19</v>
      </c>
      <c r="B32" s="6" t="s">
        <v>3</v>
      </c>
      <c r="C32" s="6" t="s">
        <v>76</v>
      </c>
      <c r="D32" s="6" t="s">
        <v>77</v>
      </c>
      <c r="E32" s="6" t="s">
        <v>78</v>
      </c>
      <c r="F32" s="6" t="s">
        <v>79</v>
      </c>
      <c r="G32" s="6" t="s">
        <v>80</v>
      </c>
      <c r="H32" s="6" t="s">
        <v>81</v>
      </c>
      <c r="I32" s="6" t="s">
        <v>82</v>
      </c>
      <c r="K32" s="26"/>
    </row>
    <row r="33" spans="1:18" x14ac:dyDescent="0.25">
      <c r="A33" s="111"/>
      <c r="B33" s="133" t="s">
        <v>5</v>
      </c>
      <c r="C33" s="56" t="s">
        <v>8</v>
      </c>
      <c r="D33" s="9" t="s">
        <v>8</v>
      </c>
      <c r="E33" s="9" t="s">
        <v>8</v>
      </c>
      <c r="F33" s="9" t="s">
        <v>8</v>
      </c>
      <c r="G33" s="9" t="s">
        <v>8</v>
      </c>
      <c r="H33" s="56" t="s">
        <v>8</v>
      </c>
      <c r="I33" s="54" t="s">
        <v>8</v>
      </c>
      <c r="K33" s="26"/>
    </row>
    <row r="34" spans="1:18" x14ac:dyDescent="0.25">
      <c r="A34" s="111"/>
      <c r="B34" s="134"/>
      <c r="C34" s="9" t="s">
        <v>11</v>
      </c>
      <c r="D34" s="56" t="s">
        <v>16</v>
      </c>
      <c r="E34" s="9" t="s">
        <v>16</v>
      </c>
      <c r="F34" s="56" t="s">
        <v>16</v>
      </c>
      <c r="G34" s="17" t="s">
        <v>10</v>
      </c>
      <c r="H34" s="9" t="s">
        <v>10</v>
      </c>
      <c r="I34" s="9" t="s">
        <v>10</v>
      </c>
      <c r="K34" s="26"/>
    </row>
    <row r="35" spans="1:18" x14ac:dyDescent="0.25">
      <c r="A35" s="111"/>
      <c r="B35" s="134"/>
      <c r="C35" s="9" t="s">
        <v>16</v>
      </c>
      <c r="D35" s="9" t="s">
        <v>10</v>
      </c>
      <c r="E35" s="56" t="s">
        <v>10</v>
      </c>
      <c r="F35" s="9" t="s">
        <v>10</v>
      </c>
      <c r="G35" s="17" t="s">
        <v>11</v>
      </c>
      <c r="H35" s="9" t="s">
        <v>11</v>
      </c>
      <c r="I35" s="56" t="s">
        <v>11</v>
      </c>
      <c r="K35" s="26"/>
    </row>
    <row r="36" spans="1:18" x14ac:dyDescent="0.25">
      <c r="A36" s="111"/>
      <c r="B36" s="134"/>
      <c r="C36" s="9" t="s">
        <v>14</v>
      </c>
      <c r="D36" s="9" t="s">
        <v>11</v>
      </c>
      <c r="E36" s="9" t="s">
        <v>9</v>
      </c>
      <c r="F36" s="9" t="s">
        <v>11</v>
      </c>
      <c r="G36" s="62" t="s">
        <v>16</v>
      </c>
      <c r="H36" s="9" t="s">
        <v>14</v>
      </c>
      <c r="I36" s="9" t="s">
        <v>14</v>
      </c>
      <c r="K36" s="26"/>
    </row>
    <row r="37" spans="1:18" x14ac:dyDescent="0.25">
      <c r="A37" s="111"/>
      <c r="B37" s="135"/>
      <c r="C37" s="9"/>
      <c r="D37" s="9"/>
      <c r="E37" s="9"/>
      <c r="F37" s="9"/>
      <c r="G37" s="9"/>
      <c r="H37" s="9"/>
      <c r="I37" s="9" t="s">
        <v>16</v>
      </c>
      <c r="K37" s="26"/>
    </row>
    <row r="38" spans="1:18" x14ac:dyDescent="0.25">
      <c r="A38" s="111"/>
      <c r="B38" s="18" t="s">
        <v>12</v>
      </c>
      <c r="C38" s="20" t="s">
        <v>8</v>
      </c>
      <c r="D38" s="18" t="s">
        <v>16</v>
      </c>
      <c r="E38" s="19"/>
      <c r="F38" s="19"/>
      <c r="G38" s="21"/>
      <c r="H38" s="65" t="s">
        <v>8</v>
      </c>
      <c r="I38" s="20" t="s">
        <v>6</v>
      </c>
      <c r="K38" s="26"/>
    </row>
    <row r="39" spans="1:18" x14ac:dyDescent="0.25">
      <c r="A39" s="111"/>
      <c r="B39" s="31"/>
      <c r="C39" s="58"/>
      <c r="D39" s="19"/>
      <c r="E39" s="19"/>
      <c r="F39" s="19"/>
      <c r="G39" s="19"/>
      <c r="H39" s="19"/>
      <c r="I39" s="20" t="s">
        <v>11</v>
      </c>
      <c r="K39" s="26"/>
    </row>
    <row r="40" spans="1:18" x14ac:dyDescent="0.25">
      <c r="A40" s="111"/>
      <c r="B40" s="128" t="s">
        <v>15</v>
      </c>
      <c r="C40" s="58"/>
      <c r="D40" s="58"/>
      <c r="E40" s="58"/>
      <c r="F40" s="30"/>
      <c r="G40" s="60"/>
      <c r="H40" s="59"/>
      <c r="I40" s="30"/>
      <c r="K40" s="26"/>
    </row>
    <row r="41" spans="1:18" x14ac:dyDescent="0.25">
      <c r="A41" s="111"/>
      <c r="B41" s="129"/>
      <c r="C41" s="58"/>
      <c r="D41" s="58"/>
      <c r="E41" s="58"/>
      <c r="F41" s="58"/>
      <c r="G41" s="28"/>
      <c r="H41" s="28"/>
      <c r="I41" s="30"/>
      <c r="K41" s="26"/>
    </row>
    <row r="42" spans="1:18" x14ac:dyDescent="0.25">
      <c r="A42" s="111"/>
      <c r="B42" s="25" t="s">
        <v>17</v>
      </c>
      <c r="C42" s="30"/>
      <c r="D42" s="30"/>
      <c r="E42" s="30"/>
      <c r="F42" s="30"/>
      <c r="G42" s="28"/>
      <c r="H42" s="58"/>
      <c r="I42" s="55"/>
      <c r="K42" s="26"/>
    </row>
    <row r="43" spans="1:18" x14ac:dyDescent="0.25">
      <c r="A43" s="111"/>
      <c r="B43" s="123" t="s">
        <v>18</v>
      </c>
      <c r="C43" s="54" t="s">
        <v>6</v>
      </c>
      <c r="D43" s="9" t="s">
        <v>6</v>
      </c>
      <c r="E43" s="9" t="s">
        <v>6</v>
      </c>
      <c r="F43" s="9" t="s">
        <v>6</v>
      </c>
      <c r="G43" s="9" t="s">
        <v>6</v>
      </c>
      <c r="H43" s="9" t="s">
        <v>6</v>
      </c>
      <c r="I43" s="56" t="s">
        <v>7</v>
      </c>
      <c r="K43" s="26"/>
    </row>
    <row r="44" spans="1:18" x14ac:dyDescent="0.25">
      <c r="A44" s="111"/>
      <c r="B44" s="124"/>
      <c r="C44" s="56" t="s">
        <v>7</v>
      </c>
      <c r="D44" s="56" t="s">
        <v>7</v>
      </c>
      <c r="E44" s="56" t="s">
        <v>7</v>
      </c>
      <c r="F44" s="56" t="s">
        <v>7</v>
      </c>
      <c r="G44" s="56" t="s">
        <v>7</v>
      </c>
      <c r="H44" s="62" t="s">
        <v>7</v>
      </c>
      <c r="I44" s="9" t="s">
        <v>9</v>
      </c>
      <c r="K44" s="26"/>
    </row>
    <row r="45" spans="1:18" x14ac:dyDescent="0.25">
      <c r="A45" s="111"/>
      <c r="B45" s="124"/>
      <c r="C45" s="9" t="s">
        <v>9</v>
      </c>
      <c r="D45" s="9" t="s">
        <v>9</v>
      </c>
      <c r="E45" s="9" t="s">
        <v>11</v>
      </c>
      <c r="F45" s="54" t="s">
        <v>9</v>
      </c>
      <c r="G45" s="56" t="s">
        <v>9</v>
      </c>
      <c r="H45" s="64" t="s">
        <v>9</v>
      </c>
      <c r="I45" s="56" t="s">
        <v>6</v>
      </c>
      <c r="K45" s="26"/>
    </row>
    <row r="46" spans="1:18" x14ac:dyDescent="0.25">
      <c r="A46" s="111"/>
      <c r="B46" s="124"/>
      <c r="C46" s="9" t="s">
        <v>10</v>
      </c>
      <c r="D46" s="56" t="s">
        <v>14</v>
      </c>
      <c r="E46" s="56" t="s">
        <v>14</v>
      </c>
      <c r="F46" s="9" t="s">
        <v>14</v>
      </c>
      <c r="G46" s="9" t="s">
        <v>14</v>
      </c>
      <c r="H46" s="17" t="s">
        <v>16</v>
      </c>
      <c r="I46" s="56" t="s">
        <v>16</v>
      </c>
      <c r="K46" s="26"/>
    </row>
    <row r="47" spans="1:18" x14ac:dyDescent="0.25">
      <c r="A47" s="111"/>
      <c r="B47" s="125"/>
      <c r="C47" s="9" t="s">
        <v>14</v>
      </c>
      <c r="D47" s="9" t="s">
        <v>10</v>
      </c>
      <c r="E47" s="9" t="s">
        <v>10</v>
      </c>
      <c r="F47" s="9" t="s">
        <v>16</v>
      </c>
      <c r="G47" s="9" t="s">
        <v>16</v>
      </c>
      <c r="H47" s="56" t="s">
        <v>14</v>
      </c>
      <c r="I47" s="9" t="s">
        <v>14</v>
      </c>
      <c r="K47" s="26"/>
    </row>
    <row r="48" spans="1:18" x14ac:dyDescent="0.25">
      <c r="A48" s="111"/>
      <c r="B48" s="126" t="s">
        <v>12</v>
      </c>
      <c r="C48" s="19"/>
      <c r="D48" s="19"/>
      <c r="E48" s="18" t="s">
        <v>14</v>
      </c>
      <c r="F48" s="27"/>
      <c r="G48" s="20" t="s">
        <v>9</v>
      </c>
      <c r="H48" s="29"/>
      <c r="I48" s="30"/>
      <c r="K48" s="26"/>
    </row>
    <row r="49" spans="1:18" x14ac:dyDescent="0.25">
      <c r="A49" s="111"/>
      <c r="B49" s="127"/>
      <c r="C49" s="19"/>
      <c r="D49" s="19"/>
      <c r="E49" s="27"/>
      <c r="F49" s="27"/>
      <c r="G49" s="27"/>
      <c r="H49" s="29"/>
      <c r="I49" s="30"/>
      <c r="K49" s="26"/>
    </row>
    <row r="50" spans="1:18" x14ac:dyDescent="0.25">
      <c r="A50" s="111"/>
      <c r="B50" s="22" t="s">
        <v>15</v>
      </c>
      <c r="C50" s="58"/>
      <c r="D50" s="58"/>
      <c r="E50" s="58"/>
      <c r="F50" s="58"/>
      <c r="G50" s="28"/>
      <c r="H50" s="29"/>
      <c r="I50" s="30"/>
      <c r="K50" s="26"/>
    </row>
    <row r="51" spans="1:18" x14ac:dyDescent="0.25">
      <c r="A51" s="111"/>
      <c r="B51" s="25" t="s">
        <v>17</v>
      </c>
      <c r="C51" s="30"/>
      <c r="D51" s="30"/>
      <c r="E51" s="30"/>
      <c r="F51" s="30"/>
      <c r="G51" s="28"/>
      <c r="H51" s="58"/>
      <c r="I51" s="55"/>
      <c r="K51" s="26"/>
    </row>
    <row r="52" spans="1:18" x14ac:dyDescent="0.25">
      <c r="B52" s="4"/>
      <c r="C52" s="15">
        <f>COUNTA(C33:C37,C43:C47)</f>
        <v>9</v>
      </c>
      <c r="D52" s="15">
        <f t="shared" ref="D52:I52" si="1">COUNTA(D33:D37,D43:D47)</f>
        <v>9</v>
      </c>
      <c r="E52" s="15">
        <f t="shared" si="1"/>
        <v>9</v>
      </c>
      <c r="F52" s="15">
        <f t="shared" si="1"/>
        <v>9</v>
      </c>
      <c r="G52" s="15">
        <f>COUNTA(G33:G37,G43:G47)</f>
        <v>9</v>
      </c>
      <c r="H52" s="15">
        <f t="shared" si="1"/>
        <v>9</v>
      </c>
      <c r="I52" s="15">
        <f t="shared" si="1"/>
        <v>10</v>
      </c>
      <c r="K52" s="26"/>
    </row>
    <row r="53" spans="1:18" x14ac:dyDescent="0.25">
      <c r="A53" s="111" t="s">
        <v>20</v>
      </c>
      <c r="B53" s="6" t="s">
        <v>3</v>
      </c>
      <c r="C53" s="6" t="s">
        <v>83</v>
      </c>
      <c r="D53" s="6" t="s">
        <v>84</v>
      </c>
      <c r="E53" s="6" t="s">
        <v>85</v>
      </c>
      <c r="F53" s="6" t="s">
        <v>86</v>
      </c>
      <c r="G53" s="6" t="s">
        <v>87</v>
      </c>
      <c r="H53" s="6" t="s">
        <v>88</v>
      </c>
      <c r="I53" s="6" t="s">
        <v>89</v>
      </c>
      <c r="K53" s="26"/>
    </row>
    <row r="54" spans="1:18" x14ac:dyDescent="0.25">
      <c r="A54" s="111"/>
      <c r="B54" s="123" t="s">
        <v>5</v>
      </c>
      <c r="C54" s="56" t="s">
        <v>8</v>
      </c>
      <c r="D54" s="9" t="s">
        <v>8</v>
      </c>
      <c r="E54" s="9" t="s">
        <v>8</v>
      </c>
      <c r="F54" s="9" t="s">
        <v>8</v>
      </c>
      <c r="G54" s="9" t="s">
        <v>8</v>
      </c>
      <c r="H54" s="9" t="s">
        <v>8</v>
      </c>
      <c r="I54" s="9" t="s">
        <v>8</v>
      </c>
      <c r="K54" s="26"/>
    </row>
    <row r="55" spans="1:18" x14ac:dyDescent="0.25">
      <c r="A55" s="111"/>
      <c r="B55" s="124"/>
      <c r="C55" s="9" t="s">
        <v>11</v>
      </c>
      <c r="D55" s="56" t="s">
        <v>16</v>
      </c>
      <c r="E55" s="9" t="s">
        <v>16</v>
      </c>
      <c r="F55" s="9" t="s">
        <v>16</v>
      </c>
      <c r="G55" s="62" t="s">
        <v>16</v>
      </c>
      <c r="H55" s="9" t="s">
        <v>10</v>
      </c>
      <c r="I55" s="9" t="s">
        <v>10</v>
      </c>
      <c r="K55" s="26"/>
    </row>
    <row r="56" spans="1:18" x14ac:dyDescent="0.25">
      <c r="A56" s="111"/>
      <c r="B56" s="124"/>
      <c r="C56" s="9" t="s">
        <v>16</v>
      </c>
      <c r="D56" s="56" t="s">
        <v>10</v>
      </c>
      <c r="E56" s="56" t="s">
        <v>10</v>
      </c>
      <c r="F56" s="56" t="s">
        <v>10</v>
      </c>
      <c r="G56" s="9" t="s">
        <v>10</v>
      </c>
      <c r="H56" s="9" t="s">
        <v>11</v>
      </c>
      <c r="I56" s="56" t="s">
        <v>11</v>
      </c>
      <c r="K56" s="26"/>
    </row>
    <row r="57" spans="1:18" x14ac:dyDescent="0.25">
      <c r="A57" s="111"/>
      <c r="B57" s="124"/>
      <c r="C57" s="9" t="s">
        <v>14</v>
      </c>
      <c r="D57" s="9" t="s">
        <v>11</v>
      </c>
      <c r="E57" s="9" t="s">
        <v>9</v>
      </c>
      <c r="F57" s="9" t="s">
        <v>11</v>
      </c>
      <c r="G57" s="17" t="s">
        <v>11</v>
      </c>
      <c r="H57" s="9"/>
      <c r="I57" s="9" t="s">
        <v>14</v>
      </c>
      <c r="J57" s="34"/>
      <c r="K57" s="26"/>
    </row>
    <row r="58" spans="1:18" x14ac:dyDescent="0.25">
      <c r="A58" s="111"/>
      <c r="B58" s="125"/>
      <c r="C58" s="9"/>
      <c r="D58" s="9" t="s">
        <v>14</v>
      </c>
      <c r="E58" s="9"/>
      <c r="F58" s="9"/>
      <c r="G58" s="9"/>
      <c r="H58" s="9"/>
      <c r="I58" s="9"/>
      <c r="K58" s="26"/>
    </row>
    <row r="59" spans="1:18" x14ac:dyDescent="0.25">
      <c r="A59" s="111"/>
      <c r="B59" s="18" t="s">
        <v>12</v>
      </c>
      <c r="C59" s="18" t="s">
        <v>8</v>
      </c>
      <c r="D59" s="18" t="s">
        <v>16</v>
      </c>
      <c r="E59" s="19"/>
      <c r="F59" s="19"/>
      <c r="G59" s="21"/>
      <c r="H59" s="19"/>
      <c r="I59" s="20" t="s">
        <v>11</v>
      </c>
      <c r="K59" s="26"/>
    </row>
    <row r="60" spans="1:18" x14ac:dyDescent="0.25">
      <c r="A60" s="111"/>
      <c r="B60" s="31"/>
      <c r="C60" s="19"/>
      <c r="D60" s="19"/>
      <c r="E60" s="19"/>
      <c r="F60" s="19"/>
      <c r="G60" s="19"/>
      <c r="H60" s="19"/>
      <c r="I60" s="19"/>
      <c r="K60" s="26"/>
    </row>
    <row r="61" spans="1:18" ht="19.5" customHeight="1" x14ac:dyDescent="0.25">
      <c r="A61" s="111"/>
      <c r="B61" s="128" t="s">
        <v>15</v>
      </c>
      <c r="C61" s="58"/>
      <c r="D61" s="58"/>
      <c r="E61" s="58"/>
      <c r="F61" s="58"/>
      <c r="G61" s="28"/>
      <c r="H61" s="28"/>
      <c r="I61" s="30"/>
      <c r="K61" s="26"/>
    </row>
    <row r="62" spans="1:18" ht="19.5" customHeight="1" x14ac:dyDescent="0.25">
      <c r="A62" s="111"/>
      <c r="B62" s="129"/>
      <c r="C62" s="19"/>
      <c r="D62" s="19"/>
      <c r="E62" s="19"/>
      <c r="F62" s="19"/>
      <c r="G62" s="33"/>
      <c r="H62" s="33"/>
      <c r="I62" s="19"/>
      <c r="K62" s="26"/>
    </row>
    <row r="63" spans="1:18" x14ac:dyDescent="0.25">
      <c r="A63" s="111"/>
      <c r="B63" s="25" t="s">
        <v>17</v>
      </c>
      <c r="C63" s="19"/>
      <c r="D63" s="19"/>
      <c r="E63" s="19"/>
      <c r="F63" s="19"/>
      <c r="G63" s="33"/>
      <c r="H63" s="33"/>
      <c r="I63" s="19"/>
      <c r="K63" s="26"/>
    </row>
    <row r="64" spans="1:18" x14ac:dyDescent="0.25">
      <c r="A64" s="111"/>
      <c r="B64" s="123" t="s">
        <v>18</v>
      </c>
      <c r="C64" s="9" t="s">
        <v>6</v>
      </c>
      <c r="D64" s="9" t="s">
        <v>6</v>
      </c>
      <c r="E64" s="9" t="s">
        <v>6</v>
      </c>
      <c r="F64" s="9" t="s">
        <v>6</v>
      </c>
      <c r="G64" s="9" t="s">
        <v>6</v>
      </c>
      <c r="H64" s="9" t="s">
        <v>6</v>
      </c>
      <c r="I64" s="56" t="s">
        <v>7</v>
      </c>
      <c r="K64" s="26"/>
    </row>
    <row r="65" spans="1:14" x14ac:dyDescent="0.25">
      <c r="A65" s="111"/>
      <c r="B65" s="124"/>
      <c r="C65" s="56" t="s">
        <v>7</v>
      </c>
      <c r="D65" s="56" t="s">
        <v>7</v>
      </c>
      <c r="E65" s="56" t="s">
        <v>7</v>
      </c>
      <c r="F65" s="56" t="s">
        <v>7</v>
      </c>
      <c r="G65" s="56" t="s">
        <v>7</v>
      </c>
      <c r="H65" s="56" t="s">
        <v>7</v>
      </c>
      <c r="I65" s="9" t="s">
        <v>9</v>
      </c>
      <c r="K65" s="26"/>
    </row>
    <row r="66" spans="1:14" x14ac:dyDescent="0.25">
      <c r="A66" s="111"/>
      <c r="B66" s="124"/>
      <c r="C66" s="9" t="s">
        <v>9</v>
      </c>
      <c r="D66" s="9" t="s">
        <v>9</v>
      </c>
      <c r="E66" s="9" t="s">
        <v>11</v>
      </c>
      <c r="F66" s="9" t="s">
        <v>9</v>
      </c>
      <c r="G66" s="56" t="s">
        <v>9</v>
      </c>
      <c r="H66" s="56" t="s">
        <v>9</v>
      </c>
      <c r="I66" s="56" t="s">
        <v>6</v>
      </c>
      <c r="J66" s="34"/>
      <c r="K66" s="26"/>
    </row>
    <row r="67" spans="1:14" x14ac:dyDescent="0.25">
      <c r="A67" s="111"/>
      <c r="B67" s="124"/>
      <c r="C67" s="9" t="s">
        <v>10</v>
      </c>
      <c r="D67" s="56" t="s">
        <v>14</v>
      </c>
      <c r="E67" s="9" t="s">
        <v>14</v>
      </c>
      <c r="F67" s="9" t="s">
        <v>14</v>
      </c>
      <c r="G67" s="9" t="s">
        <v>14</v>
      </c>
      <c r="H67" s="9" t="s">
        <v>16</v>
      </c>
      <c r="I67" s="9" t="s">
        <v>16</v>
      </c>
      <c r="K67" s="26"/>
    </row>
    <row r="68" spans="1:14" x14ac:dyDescent="0.25">
      <c r="A68" s="111"/>
      <c r="B68" s="125"/>
      <c r="C68" s="56" t="s">
        <v>14</v>
      </c>
      <c r="D68" s="9" t="s">
        <v>10</v>
      </c>
      <c r="E68" s="9" t="s">
        <v>10</v>
      </c>
      <c r="F68" s="56" t="s">
        <v>10</v>
      </c>
      <c r="G68" s="9" t="s">
        <v>16</v>
      </c>
      <c r="H68" s="9" t="s">
        <v>14</v>
      </c>
      <c r="I68" s="56" t="s">
        <v>11</v>
      </c>
      <c r="K68" s="26"/>
    </row>
    <row r="69" spans="1:14" x14ac:dyDescent="0.25">
      <c r="A69" s="111"/>
      <c r="B69" s="126" t="s">
        <v>12</v>
      </c>
      <c r="C69" s="19"/>
      <c r="D69" s="19"/>
      <c r="E69" s="18" t="s">
        <v>14</v>
      </c>
      <c r="F69" s="18" t="s">
        <v>10</v>
      </c>
      <c r="G69" s="18" t="s">
        <v>9</v>
      </c>
      <c r="H69" s="19"/>
      <c r="I69" s="20" t="s">
        <v>6</v>
      </c>
    </row>
    <row r="70" spans="1:14" x14ac:dyDescent="0.25">
      <c r="A70" s="111"/>
      <c r="B70" s="127"/>
      <c r="C70" s="19"/>
      <c r="D70" s="19"/>
      <c r="E70" s="27"/>
      <c r="F70" s="27"/>
      <c r="G70" s="27"/>
      <c r="H70" s="19"/>
      <c r="I70" s="20" t="s">
        <v>7</v>
      </c>
    </row>
    <row r="71" spans="1:14" x14ac:dyDescent="0.25">
      <c r="A71" s="111"/>
      <c r="B71" s="22" t="s">
        <v>15</v>
      </c>
      <c r="C71" s="19"/>
      <c r="D71" s="19"/>
      <c r="E71" s="19"/>
      <c r="F71" s="19"/>
      <c r="G71" s="33"/>
      <c r="H71" s="66" t="s">
        <v>10</v>
      </c>
      <c r="I71" s="19"/>
      <c r="K71" s="35"/>
      <c r="L71" s="35"/>
      <c r="M71" s="35"/>
      <c r="N71" s="35"/>
    </row>
    <row r="72" spans="1:14" x14ac:dyDescent="0.25">
      <c r="A72" s="111"/>
      <c r="B72" s="25" t="s">
        <v>17</v>
      </c>
      <c r="C72" s="19"/>
      <c r="D72" s="19"/>
      <c r="E72" s="19"/>
      <c r="F72" s="19"/>
      <c r="G72" s="19"/>
      <c r="H72" s="19"/>
      <c r="I72" s="19"/>
      <c r="K72" s="35"/>
      <c r="L72" s="35"/>
      <c r="M72" s="35"/>
      <c r="N72" s="35"/>
    </row>
    <row r="73" spans="1:14" x14ac:dyDescent="0.25">
      <c r="B73" s="4"/>
      <c r="C73" s="15">
        <f>COUNTA(C54:C58,C64:C68)</f>
        <v>9</v>
      </c>
      <c r="D73" s="15">
        <f t="shared" ref="D73:I73" si="2">COUNTA(D54:D58,D64:D68)</f>
        <v>10</v>
      </c>
      <c r="E73" s="15">
        <f t="shared" si="2"/>
        <v>9</v>
      </c>
      <c r="F73" s="15">
        <f t="shared" si="2"/>
        <v>9</v>
      </c>
      <c r="G73" s="15">
        <f t="shared" si="2"/>
        <v>9</v>
      </c>
      <c r="H73" s="15">
        <f t="shared" si="2"/>
        <v>8</v>
      </c>
      <c r="I73" s="15">
        <f t="shared" si="2"/>
        <v>9</v>
      </c>
      <c r="K73" s="36"/>
      <c r="L73" s="35"/>
      <c r="M73" s="35"/>
      <c r="N73" s="35"/>
    </row>
    <row r="74" spans="1:14" x14ac:dyDescent="0.25">
      <c r="A74" s="111" t="s">
        <v>21</v>
      </c>
      <c r="B74" s="6" t="s">
        <v>3</v>
      </c>
      <c r="C74" s="6" t="s">
        <v>90</v>
      </c>
      <c r="D74" s="6" t="s">
        <v>91</v>
      </c>
      <c r="E74" s="6" t="s">
        <v>92</v>
      </c>
      <c r="F74" s="6" t="s">
        <v>93</v>
      </c>
      <c r="G74" s="6" t="s">
        <v>94</v>
      </c>
      <c r="H74" s="6" t="s">
        <v>95</v>
      </c>
      <c r="I74" s="6" t="s">
        <v>96</v>
      </c>
      <c r="K74" s="35"/>
      <c r="L74" s="35"/>
      <c r="M74" s="35"/>
      <c r="N74" s="35"/>
    </row>
    <row r="75" spans="1:14" x14ac:dyDescent="0.25">
      <c r="A75" s="111"/>
      <c r="B75" s="123" t="s">
        <v>5</v>
      </c>
      <c r="C75" s="56" t="s">
        <v>8</v>
      </c>
      <c r="D75" s="9" t="s">
        <v>8</v>
      </c>
      <c r="E75" s="9" t="s">
        <v>8</v>
      </c>
      <c r="F75" s="9" t="s">
        <v>8</v>
      </c>
      <c r="G75" s="9" t="s">
        <v>8</v>
      </c>
      <c r="H75" s="9" t="s">
        <v>8</v>
      </c>
      <c r="I75" s="9" t="s">
        <v>8</v>
      </c>
      <c r="K75" s="37"/>
      <c r="L75" s="35"/>
      <c r="M75" s="35"/>
      <c r="N75" s="35"/>
    </row>
    <row r="76" spans="1:14" x14ac:dyDescent="0.25">
      <c r="A76" s="111"/>
      <c r="B76" s="124"/>
      <c r="C76" s="9" t="s">
        <v>11</v>
      </c>
      <c r="D76" s="56" t="s">
        <v>16</v>
      </c>
      <c r="E76" s="9" t="s">
        <v>16</v>
      </c>
      <c r="F76" s="9" t="s">
        <v>16</v>
      </c>
      <c r="G76" s="9" t="s">
        <v>16</v>
      </c>
      <c r="H76" s="9" t="s">
        <v>10</v>
      </c>
      <c r="I76" s="9" t="s">
        <v>10</v>
      </c>
      <c r="K76" s="11"/>
    </row>
    <row r="77" spans="1:14" x14ac:dyDescent="0.25">
      <c r="A77" s="111"/>
      <c r="B77" s="124"/>
      <c r="C77" s="9" t="s">
        <v>16</v>
      </c>
      <c r="D77" s="56" t="s">
        <v>10</v>
      </c>
      <c r="E77" s="9" t="s">
        <v>10</v>
      </c>
      <c r="F77" s="56" t="s">
        <v>10</v>
      </c>
      <c r="G77" s="56" t="s">
        <v>10</v>
      </c>
      <c r="H77" s="9" t="s">
        <v>11</v>
      </c>
      <c r="I77" s="56" t="s">
        <v>11</v>
      </c>
      <c r="K77" s="11"/>
    </row>
    <row r="78" spans="1:14" x14ac:dyDescent="0.25">
      <c r="A78" s="111"/>
      <c r="B78" s="124"/>
      <c r="C78" s="9" t="s">
        <v>14</v>
      </c>
      <c r="D78" s="9" t="s">
        <v>11</v>
      </c>
      <c r="E78" s="9" t="s">
        <v>9</v>
      </c>
      <c r="F78" s="9" t="s">
        <v>11</v>
      </c>
      <c r="G78" s="9" t="s">
        <v>11</v>
      </c>
      <c r="H78" s="9" t="s">
        <v>14</v>
      </c>
      <c r="I78" s="56" t="s">
        <v>14</v>
      </c>
      <c r="K78" s="11"/>
    </row>
    <row r="79" spans="1:14" x14ac:dyDescent="0.25">
      <c r="A79" s="111"/>
      <c r="B79" s="125"/>
      <c r="C79" s="56" t="s">
        <v>7</v>
      </c>
      <c r="D79" s="9" t="s">
        <v>7</v>
      </c>
      <c r="E79" s="9"/>
      <c r="F79" s="9"/>
      <c r="G79" s="17"/>
      <c r="H79" s="9"/>
      <c r="I79" s="56" t="s">
        <v>6</v>
      </c>
      <c r="K79" s="11"/>
    </row>
    <row r="80" spans="1:14" x14ac:dyDescent="0.25">
      <c r="A80" s="111"/>
      <c r="B80" s="18" t="s">
        <v>12</v>
      </c>
      <c r="C80" s="18" t="s">
        <v>8</v>
      </c>
      <c r="D80" s="18" t="s">
        <v>16</v>
      </c>
      <c r="E80" s="19"/>
      <c r="F80" s="18" t="s">
        <v>10</v>
      </c>
      <c r="G80" s="21"/>
      <c r="H80" s="19"/>
      <c r="I80" s="20" t="s">
        <v>11</v>
      </c>
    </row>
    <row r="81" spans="1:9" x14ac:dyDescent="0.25">
      <c r="A81" s="111"/>
      <c r="B81" s="18"/>
      <c r="C81" s="18" t="s">
        <v>7</v>
      </c>
      <c r="D81" s="19"/>
      <c r="E81" s="19"/>
      <c r="F81" s="19"/>
      <c r="G81" s="19"/>
      <c r="H81" s="19"/>
      <c r="I81" s="20" t="s">
        <v>6</v>
      </c>
    </row>
    <row r="82" spans="1:9" x14ac:dyDescent="0.25">
      <c r="A82" s="111"/>
      <c r="B82" s="22" t="s">
        <v>15</v>
      </c>
      <c r="C82" s="19"/>
      <c r="D82" s="19"/>
      <c r="E82" s="19"/>
      <c r="F82" s="19"/>
      <c r="G82" s="33"/>
      <c r="H82" s="33"/>
      <c r="I82" s="19"/>
    </row>
    <row r="83" spans="1:9" x14ac:dyDescent="0.25">
      <c r="A83" s="111"/>
      <c r="B83" s="25" t="s">
        <v>17</v>
      </c>
      <c r="C83" s="19"/>
      <c r="D83" s="19"/>
      <c r="E83" s="23"/>
      <c r="F83" s="23"/>
      <c r="G83" s="21"/>
      <c r="H83" s="23"/>
      <c r="I83" s="19"/>
    </row>
    <row r="84" spans="1:9" x14ac:dyDescent="0.25">
      <c r="A84" s="111"/>
      <c r="B84" s="123" t="s">
        <v>18</v>
      </c>
      <c r="C84" s="9" t="s">
        <v>6</v>
      </c>
      <c r="D84" s="9" t="s">
        <v>6</v>
      </c>
      <c r="E84" s="9" t="s">
        <v>6</v>
      </c>
      <c r="F84" s="9" t="s">
        <v>6</v>
      </c>
      <c r="G84" s="9" t="s">
        <v>6</v>
      </c>
      <c r="H84" s="9" t="s">
        <v>6</v>
      </c>
      <c r="I84" s="90" t="s">
        <v>6</v>
      </c>
    </row>
    <row r="85" spans="1:9" x14ac:dyDescent="0.25">
      <c r="A85" s="111"/>
      <c r="B85" s="124"/>
      <c r="C85" s="56" t="s">
        <v>7</v>
      </c>
      <c r="D85" s="56" t="s">
        <v>7</v>
      </c>
      <c r="E85" s="9" t="s">
        <v>7</v>
      </c>
      <c r="F85" s="9" t="s">
        <v>7</v>
      </c>
      <c r="G85" s="9" t="s">
        <v>7</v>
      </c>
      <c r="H85" s="9" t="s">
        <v>7</v>
      </c>
      <c r="I85" s="56" t="s">
        <v>7</v>
      </c>
    </row>
    <row r="86" spans="1:9" x14ac:dyDescent="0.25">
      <c r="A86" s="111"/>
      <c r="B86" s="124"/>
      <c r="C86" s="9" t="s">
        <v>9</v>
      </c>
      <c r="D86" s="9" t="s">
        <v>9</v>
      </c>
      <c r="E86" s="9" t="s">
        <v>11</v>
      </c>
      <c r="F86" s="9" t="s">
        <v>9</v>
      </c>
      <c r="G86" s="56" t="s">
        <v>9</v>
      </c>
      <c r="H86" s="9" t="s">
        <v>9</v>
      </c>
      <c r="I86" s="9" t="s">
        <v>9</v>
      </c>
    </row>
    <row r="87" spans="1:9" x14ac:dyDescent="0.25">
      <c r="A87" s="111"/>
      <c r="B87" s="124"/>
      <c r="C87" s="9" t="s">
        <v>10</v>
      </c>
      <c r="D87" s="56" t="s">
        <v>14</v>
      </c>
      <c r="E87" s="56" t="s">
        <v>14</v>
      </c>
      <c r="F87" s="56" t="s">
        <v>14</v>
      </c>
      <c r="G87" s="56" t="s">
        <v>14</v>
      </c>
      <c r="H87" s="17" t="s">
        <v>16</v>
      </c>
      <c r="I87" s="17" t="s">
        <v>16</v>
      </c>
    </row>
    <row r="88" spans="1:9" x14ac:dyDescent="0.25">
      <c r="A88" s="111"/>
      <c r="B88" s="125"/>
      <c r="C88" s="56" t="s">
        <v>14</v>
      </c>
      <c r="D88" s="9" t="s">
        <v>10</v>
      </c>
      <c r="E88" s="9"/>
      <c r="F88" s="56" t="s">
        <v>10</v>
      </c>
      <c r="G88" s="9" t="s">
        <v>10</v>
      </c>
      <c r="H88" s="56" t="s">
        <v>14</v>
      </c>
      <c r="I88" s="56" t="s">
        <v>14</v>
      </c>
    </row>
    <row r="89" spans="1:9" x14ac:dyDescent="0.25">
      <c r="A89" s="111"/>
      <c r="B89" s="126" t="s">
        <v>12</v>
      </c>
      <c r="C89" s="19"/>
      <c r="D89" s="19"/>
      <c r="E89" s="27"/>
      <c r="F89" s="19"/>
      <c r="G89" s="18" t="s">
        <v>9</v>
      </c>
      <c r="H89" s="19"/>
      <c r="I89" s="20" t="s">
        <v>7</v>
      </c>
    </row>
    <row r="90" spans="1:9" x14ac:dyDescent="0.25">
      <c r="A90" s="111"/>
      <c r="B90" s="127"/>
      <c r="C90" s="19"/>
      <c r="D90" s="19"/>
      <c r="E90" s="19"/>
      <c r="F90" s="19"/>
      <c r="G90" s="19"/>
      <c r="H90" s="19"/>
      <c r="I90" s="19"/>
    </row>
    <row r="91" spans="1:9" x14ac:dyDescent="0.25">
      <c r="A91" s="111"/>
      <c r="B91" s="128" t="s">
        <v>15</v>
      </c>
      <c r="C91" s="19"/>
      <c r="D91" s="19"/>
      <c r="E91" s="19"/>
      <c r="F91" s="19"/>
      <c r="G91" s="33"/>
      <c r="H91" s="19"/>
      <c r="I91" s="19"/>
    </row>
    <row r="92" spans="1:9" x14ac:dyDescent="0.25">
      <c r="A92" s="111"/>
      <c r="B92" s="129"/>
      <c r="C92" s="19"/>
      <c r="D92" s="30"/>
      <c r="E92" s="27"/>
      <c r="F92" s="19"/>
      <c r="G92" s="23"/>
      <c r="H92" s="29"/>
      <c r="I92" s="33"/>
    </row>
    <row r="93" spans="1:9" x14ac:dyDescent="0.25">
      <c r="A93" s="111"/>
      <c r="B93" s="25" t="s">
        <v>17</v>
      </c>
      <c r="C93" s="19"/>
      <c r="D93" s="25"/>
      <c r="E93" s="25"/>
      <c r="F93" s="25"/>
      <c r="G93" s="25"/>
      <c r="H93" s="25"/>
      <c r="I93" s="25"/>
    </row>
    <row r="94" spans="1:9" x14ac:dyDescent="0.25">
      <c r="B94" s="4"/>
      <c r="C94" s="15">
        <f>COUNTA(C75:C79,C84:C88)</f>
        <v>10</v>
      </c>
      <c r="D94" s="15">
        <f t="shared" ref="D94:I94" si="3">COUNTA(D75:D79,D84:D88)</f>
        <v>10</v>
      </c>
      <c r="E94" s="15">
        <f t="shared" si="3"/>
        <v>8</v>
      </c>
      <c r="F94" s="15">
        <f t="shared" si="3"/>
        <v>9</v>
      </c>
      <c r="G94" s="15">
        <f t="shared" si="3"/>
        <v>9</v>
      </c>
      <c r="H94" s="15">
        <f t="shared" si="3"/>
        <v>9</v>
      </c>
      <c r="I94" s="15">
        <f t="shared" si="3"/>
        <v>10</v>
      </c>
    </row>
    <row r="95" spans="1:9" x14ac:dyDescent="0.25">
      <c r="A95" s="111" t="s">
        <v>22</v>
      </c>
      <c r="B95" s="6" t="s">
        <v>3</v>
      </c>
      <c r="C95" s="6" t="s">
        <v>97</v>
      </c>
      <c r="D95" s="6" t="s">
        <v>98</v>
      </c>
      <c r="E95" s="6" t="s">
        <v>99</v>
      </c>
      <c r="F95" s="6" t="s">
        <v>100</v>
      </c>
      <c r="G95" s="6" t="s">
        <v>101</v>
      </c>
      <c r="H95" s="6" t="s">
        <v>102</v>
      </c>
      <c r="I95" s="6" t="s">
        <v>103</v>
      </c>
    </row>
    <row r="96" spans="1:9" x14ac:dyDescent="0.25">
      <c r="A96" s="111"/>
      <c r="B96" s="123" t="s">
        <v>5</v>
      </c>
      <c r="C96" s="9" t="s">
        <v>8</v>
      </c>
      <c r="D96" s="9" t="s">
        <v>8</v>
      </c>
      <c r="E96" s="9" t="s">
        <v>8</v>
      </c>
      <c r="F96" s="9" t="s">
        <v>8</v>
      </c>
      <c r="G96" s="45" t="s">
        <v>8</v>
      </c>
      <c r="H96" s="9" t="s">
        <v>8</v>
      </c>
      <c r="I96" s="9" t="s">
        <v>8</v>
      </c>
    </row>
    <row r="97" spans="1:9" x14ac:dyDescent="0.25">
      <c r="A97" s="111"/>
      <c r="B97" s="124"/>
      <c r="C97" s="9" t="s">
        <v>11</v>
      </c>
      <c r="D97" s="56" t="s">
        <v>16</v>
      </c>
      <c r="E97" s="9" t="s">
        <v>16</v>
      </c>
      <c r="F97" s="9" t="s">
        <v>16</v>
      </c>
      <c r="G97" s="45" t="s">
        <v>16</v>
      </c>
      <c r="H97" s="9" t="s">
        <v>10</v>
      </c>
      <c r="I97" s="9" t="s">
        <v>10</v>
      </c>
    </row>
    <row r="98" spans="1:9" x14ac:dyDescent="0.25">
      <c r="A98" s="111"/>
      <c r="B98" s="124"/>
      <c r="C98" s="9" t="s">
        <v>16</v>
      </c>
      <c r="D98" s="9" t="s">
        <v>10</v>
      </c>
      <c r="E98" s="9" t="s">
        <v>10</v>
      </c>
      <c r="F98" s="56" t="s">
        <v>10</v>
      </c>
      <c r="G98" s="56" t="s">
        <v>10</v>
      </c>
      <c r="H98" s="9" t="s">
        <v>11</v>
      </c>
      <c r="I98" s="56" t="s">
        <v>11</v>
      </c>
    </row>
    <row r="99" spans="1:9" x14ac:dyDescent="0.25">
      <c r="A99" s="111"/>
      <c r="B99" s="124"/>
      <c r="C99" s="9" t="s">
        <v>7</v>
      </c>
      <c r="D99" s="9" t="s">
        <v>11</v>
      </c>
      <c r="E99" s="9" t="s">
        <v>9</v>
      </c>
      <c r="F99" s="9" t="s">
        <v>11</v>
      </c>
      <c r="G99" s="45" t="s">
        <v>11</v>
      </c>
      <c r="H99" s="9"/>
      <c r="I99" s="56" t="s">
        <v>6</v>
      </c>
    </row>
    <row r="100" spans="1:9" x14ac:dyDescent="0.25">
      <c r="A100" s="111"/>
      <c r="B100" s="125"/>
      <c r="C100" s="9"/>
      <c r="D100" s="9"/>
      <c r="E100" s="9"/>
      <c r="F100" s="9"/>
      <c r="G100" s="45"/>
      <c r="H100" s="9"/>
      <c r="I100" s="9"/>
    </row>
    <row r="101" spans="1:9" x14ac:dyDescent="0.25">
      <c r="A101" s="111"/>
      <c r="B101" s="18" t="s">
        <v>12</v>
      </c>
      <c r="C101" s="18" t="s">
        <v>125</v>
      </c>
      <c r="D101" s="18" t="s">
        <v>16</v>
      </c>
      <c r="E101" s="19"/>
      <c r="F101" s="20" t="s">
        <v>10</v>
      </c>
      <c r="G101" s="47"/>
      <c r="H101" s="19"/>
      <c r="I101" s="20" t="s">
        <v>11</v>
      </c>
    </row>
    <row r="102" spans="1:9" x14ac:dyDescent="0.25">
      <c r="A102" s="111"/>
      <c r="B102" s="18"/>
      <c r="C102" s="19"/>
      <c r="D102" s="19"/>
      <c r="E102" s="19"/>
      <c r="F102" s="19"/>
      <c r="G102" s="47"/>
      <c r="H102" s="19"/>
      <c r="I102" s="20" t="s">
        <v>6</v>
      </c>
    </row>
    <row r="103" spans="1:9" x14ac:dyDescent="0.25">
      <c r="A103" s="111"/>
      <c r="B103" s="22" t="s">
        <v>15</v>
      </c>
      <c r="C103" s="19"/>
      <c r="D103" s="19"/>
      <c r="E103" s="19"/>
      <c r="F103" s="19"/>
      <c r="G103" s="47"/>
      <c r="H103" s="19"/>
      <c r="I103" s="19"/>
    </row>
    <row r="104" spans="1:9" x14ac:dyDescent="0.25">
      <c r="A104" s="111"/>
      <c r="B104" s="25" t="s">
        <v>17</v>
      </c>
      <c r="C104" s="19"/>
      <c r="D104" s="19"/>
      <c r="E104" s="23"/>
      <c r="F104" s="23"/>
      <c r="G104" s="46"/>
      <c r="H104" s="23"/>
      <c r="I104" s="19"/>
    </row>
    <row r="105" spans="1:9" x14ac:dyDescent="0.25">
      <c r="A105" s="111"/>
      <c r="B105" s="123" t="s">
        <v>18</v>
      </c>
      <c r="C105" s="9" t="s">
        <v>6</v>
      </c>
      <c r="D105" s="9" t="s">
        <v>6</v>
      </c>
      <c r="E105" s="9" t="s">
        <v>6</v>
      </c>
      <c r="F105" s="9" t="s">
        <v>6</v>
      </c>
      <c r="G105" s="45" t="s">
        <v>6</v>
      </c>
      <c r="H105" s="9" t="s">
        <v>6</v>
      </c>
      <c r="I105" s="90" t="s">
        <v>6</v>
      </c>
    </row>
    <row r="106" spans="1:9" x14ac:dyDescent="0.25">
      <c r="A106" s="111"/>
      <c r="B106" s="124"/>
      <c r="C106" s="56" t="s">
        <v>7</v>
      </c>
      <c r="D106" s="9" t="s">
        <v>7</v>
      </c>
      <c r="E106" s="9" t="s">
        <v>7</v>
      </c>
      <c r="F106" s="9" t="s">
        <v>7</v>
      </c>
      <c r="G106" s="9" t="s">
        <v>7</v>
      </c>
      <c r="H106" s="9" t="s">
        <v>7</v>
      </c>
      <c r="I106" s="9" t="s">
        <v>7</v>
      </c>
    </row>
    <row r="107" spans="1:9" x14ac:dyDescent="0.25">
      <c r="A107" s="111"/>
      <c r="B107" s="124"/>
      <c r="C107" s="9" t="s">
        <v>9</v>
      </c>
      <c r="D107" s="9" t="s">
        <v>9</v>
      </c>
      <c r="E107" s="9" t="s">
        <v>11</v>
      </c>
      <c r="F107" s="9" t="s">
        <v>9</v>
      </c>
      <c r="G107" s="56" t="s">
        <v>9</v>
      </c>
      <c r="H107" s="9" t="s">
        <v>9</v>
      </c>
      <c r="I107" s="9" t="s">
        <v>9</v>
      </c>
    </row>
    <row r="108" spans="1:9" x14ac:dyDescent="0.25">
      <c r="A108" s="111"/>
      <c r="B108" s="124"/>
      <c r="C108" s="9" t="s">
        <v>10</v>
      </c>
      <c r="D108" s="56" t="s">
        <v>14</v>
      </c>
      <c r="E108" s="56" t="s">
        <v>14</v>
      </c>
      <c r="F108" s="56" t="s">
        <v>14</v>
      </c>
      <c r="G108" s="56" t="s">
        <v>14</v>
      </c>
      <c r="H108" s="17" t="s">
        <v>16</v>
      </c>
      <c r="I108" s="17" t="s">
        <v>16</v>
      </c>
    </row>
    <row r="109" spans="1:9" x14ac:dyDescent="0.25">
      <c r="A109" s="111"/>
      <c r="B109" s="125"/>
      <c r="C109" s="56" t="s">
        <v>14</v>
      </c>
      <c r="D109" s="9"/>
      <c r="E109" s="9"/>
      <c r="F109" s="9"/>
      <c r="G109" s="45" t="s">
        <v>10</v>
      </c>
      <c r="H109" s="56" t="s">
        <v>14</v>
      </c>
      <c r="I109" s="56" t="s">
        <v>14</v>
      </c>
    </row>
    <row r="110" spans="1:9" x14ac:dyDescent="0.25">
      <c r="A110" s="111"/>
      <c r="B110" s="126" t="s">
        <v>12</v>
      </c>
      <c r="C110" s="19"/>
      <c r="D110" s="27"/>
      <c r="E110" s="27"/>
      <c r="F110" s="27"/>
      <c r="G110" s="18" t="s">
        <v>9</v>
      </c>
      <c r="H110" s="29"/>
      <c r="I110" s="20" t="s">
        <v>7</v>
      </c>
    </row>
    <row r="111" spans="1:9" x14ac:dyDescent="0.25">
      <c r="A111" s="111"/>
      <c r="B111" s="130"/>
      <c r="C111" s="19"/>
      <c r="D111" s="19"/>
      <c r="E111" s="27"/>
      <c r="F111" s="19"/>
      <c r="G111" s="48"/>
      <c r="H111" s="29"/>
      <c r="I111" s="19"/>
    </row>
    <row r="112" spans="1:9" x14ac:dyDescent="0.25">
      <c r="A112" s="111"/>
      <c r="B112" s="127"/>
      <c r="C112" s="28"/>
      <c r="D112" s="27"/>
      <c r="E112" s="27"/>
      <c r="F112" s="27"/>
      <c r="G112" s="48"/>
      <c r="H112" s="29"/>
      <c r="I112" s="19"/>
    </row>
    <row r="113" spans="1:16" x14ac:dyDescent="0.25">
      <c r="A113" s="111"/>
      <c r="B113" s="131" t="s">
        <v>15</v>
      </c>
      <c r="C113" s="19"/>
      <c r="D113" s="19"/>
      <c r="E113" s="19"/>
      <c r="F113" s="19"/>
      <c r="G113" s="47"/>
      <c r="H113" s="19"/>
      <c r="I113" s="19"/>
    </row>
    <row r="114" spans="1:16" x14ac:dyDescent="0.25">
      <c r="A114" s="111"/>
      <c r="B114" s="132"/>
      <c r="C114" s="19"/>
      <c r="D114" s="30"/>
      <c r="E114" s="27"/>
      <c r="F114" s="19"/>
      <c r="G114" s="49"/>
      <c r="H114" s="27"/>
      <c r="I114" s="33"/>
    </row>
    <row r="115" spans="1:16" x14ac:dyDescent="0.25">
      <c r="A115" s="111"/>
      <c r="B115" s="25" t="s">
        <v>17</v>
      </c>
      <c r="C115" s="19"/>
      <c r="D115" s="25"/>
      <c r="E115" s="25"/>
      <c r="F115" s="25"/>
      <c r="G115" s="25"/>
      <c r="H115" s="25"/>
      <c r="I115" s="25"/>
    </row>
    <row r="116" spans="1:16" x14ac:dyDescent="0.25">
      <c r="C116" s="15">
        <f t="shared" ref="C116:I116" si="4">COUNTA(C96:C100,C105:C109)</f>
        <v>9</v>
      </c>
      <c r="D116" s="15">
        <f t="shared" si="4"/>
        <v>8</v>
      </c>
      <c r="E116" s="15">
        <f t="shared" si="4"/>
        <v>8</v>
      </c>
      <c r="F116" s="15">
        <f t="shared" si="4"/>
        <v>8</v>
      </c>
      <c r="G116" s="15">
        <f t="shared" si="4"/>
        <v>9</v>
      </c>
      <c r="H116" s="15">
        <f t="shared" si="4"/>
        <v>8</v>
      </c>
      <c r="I116" s="15">
        <f t="shared" si="4"/>
        <v>9</v>
      </c>
    </row>
    <row r="118" spans="1:16" x14ac:dyDescent="0.25">
      <c r="D118" s="2"/>
      <c r="E118" s="2"/>
    </row>
    <row r="119" spans="1:16" x14ac:dyDescent="0.25">
      <c r="C119" s="122" t="s">
        <v>27</v>
      </c>
      <c r="D119" s="122"/>
      <c r="E119" s="122"/>
      <c r="F119" s="122"/>
      <c r="G119" s="122"/>
      <c r="I119" s="122" t="s">
        <v>28</v>
      </c>
      <c r="J119" s="122"/>
      <c r="K119" s="122"/>
      <c r="L119" s="122"/>
      <c r="M119" s="122"/>
    </row>
    <row r="120" spans="1:16" x14ac:dyDescent="0.25">
      <c r="D120" s="2" t="s">
        <v>29</v>
      </c>
      <c r="E120" s="2" t="s">
        <v>30</v>
      </c>
      <c r="F120" t="s">
        <v>31</v>
      </c>
      <c r="G120" t="s">
        <v>32</v>
      </c>
      <c r="I120" s="2" t="s">
        <v>29</v>
      </c>
      <c r="J120" s="2" t="s">
        <v>30</v>
      </c>
      <c r="K120" t="s">
        <v>31</v>
      </c>
      <c r="L120" t="s">
        <v>32</v>
      </c>
      <c r="M120" s="2"/>
      <c r="N120" s="2" t="s">
        <v>33</v>
      </c>
      <c r="O120" s="2" t="s">
        <v>34</v>
      </c>
    </row>
    <row r="121" spans="1:16" x14ac:dyDescent="0.25">
      <c r="B121" t="s">
        <v>4</v>
      </c>
      <c r="C121" s="38" t="s">
        <v>16</v>
      </c>
      <c r="D121" s="39">
        <f>COUNTIF($C$8:$I$12,"Mario")-COUNTIF($C$14:$I$19,"Mario")+COUNTIF($C$33:$I$37,"Mario")-COUNTIF($C$38:$I$42,"Mario")+COUNTIF($C$54:$E$58,"Mario")-COUNTIF($C$59:$E$63,"Mario")</f>
        <v>8</v>
      </c>
      <c r="E121" s="39">
        <f>COUNTIF($C$20:$I$24,"Mario")-COUNTIF($C$25:$I$30,"Mario")+COUNTIF($C$43:$I$47,"Mario")-COUNTIF($C$48:$I$51,"Mario")+COUNTIF($C$64:$E$68,"Mario")-COUNTIF($C$69:$E$72,"Mario")</f>
        <v>10</v>
      </c>
      <c r="F121" s="39">
        <f>+COUNTIF($C$14:$I$19,"Mario")+COUNTIF($C$38:$I$42,"Mario")+COUNTIF($C$59:$E$63,"Mario")+COUNTIF($C$25:$I$30,"Mario")+COUNTIF($C$48:$I$51,"Mario")+COUNTIF($C$69:$E$72,"Mario")</f>
        <v>3</v>
      </c>
      <c r="G121" s="40">
        <f>+F121+E121+D121</f>
        <v>21</v>
      </c>
      <c r="H121" s="38" t="s">
        <v>16</v>
      </c>
      <c r="I121" s="39">
        <f>COUNTIF($C$54:$I$58,"Mario")-COUNTIF($C$59:$I$63,"Mario")+COUNTIF($C$75:$I$79,"Mario")-COUNTIF($C$80:$I$83,"Mario")+COUNTIF($C$96:$D$100,"Mario")-COUNTIF($C$101:$D$104,"Mario")</f>
        <v>9</v>
      </c>
      <c r="J121" s="39">
        <f>COUNTIF($C$64:$I$68,"Mario")-COUNTIF($C$69:$I$72,"Mario")+COUNTIF($C$84:$I$88,"Mario")-COUNTIF($C$89:$I$93,"Mario")+COUNTIF($C$105:$D$109,"Mario")-COUNTIF($C$110:$D$115,"Mario")</f>
        <v>5</v>
      </c>
      <c r="K121" s="39">
        <f>COUNTIF($C$59:$I$63,"Mario")+COUNTIF($C$80:$I$83,"Mario")+COUNTIF($C$101:$D$104,"Mario")+COUNTIF($C$69:$I$72,"Mario")+COUNTIF($C$89:$I$93,"Mario")+COUNTIF($C$110:$D$115,"Mario")</f>
        <v>3</v>
      </c>
      <c r="L121" s="40">
        <f t="shared" ref="L121:L128" si="5">+K121+J121+I121</f>
        <v>17</v>
      </c>
      <c r="N121">
        <v>3</v>
      </c>
    </row>
    <row r="122" spans="1:16" x14ac:dyDescent="0.25">
      <c r="C122" t="s">
        <v>7</v>
      </c>
      <c r="D122" s="39">
        <f>COUNTIF($C$8:$I$12,"Edwin")-COUNTIF($C$14:$I$19,"Edwin")+COUNTIF($C$33:$I$37,"Edwin")-COUNTIF($C$38:$I$42,"Edwin")+COUNTIF($C$54:$E$58,"Edwin")-COUNTIF($C$59:$E$63,"Edwin")</f>
        <v>4</v>
      </c>
      <c r="E122" s="39">
        <f>COUNTIF($C$20:$I$24,"Edwin")-COUNTIF($C$25:$I$30,"Edwin")+COUNTIF($C$43:$I$47,"Edwin")-COUNTIF($C$48:$I$51,"Edwin")+COUNTIF($C$64:$E$68,"Edwin")-COUNTIF($C$69:$E$72,"Edwin")</f>
        <v>12</v>
      </c>
      <c r="F122" s="39">
        <f>+COUNTIF($C$14:$I$19,"Edwin")+COUNTIF($C$38:$I$42,"Edwin")+COUNTIF($C$59:$E$63,"Edwin")+COUNTIF($C$25:$I$30,"Edwin")+COUNTIF($C$48:$I$51,"Edwin")+COUNTIF($C$69:$E$72,"Edwin")</f>
        <v>0</v>
      </c>
      <c r="G122" s="40">
        <f t="shared" ref="G122:G128" si="6">+F122+E122+D122</f>
        <v>16</v>
      </c>
      <c r="H122" t="s">
        <v>7</v>
      </c>
      <c r="I122" s="39">
        <f>COUNTIF($C$54:$I$58,"Edwin")-COUNTIF($C$59:$I$63,"Edwin")+COUNTIF($C$75:$I$79,"Edwin")-COUNTIF($C$80:$I$83,"Edwin")+COUNTIF($C$96:$D$100,"Edwin")-COUNTIF($C$101:$D$104,"Edwin")</f>
        <v>2</v>
      </c>
      <c r="J122" s="39">
        <f>COUNTIF($C$64:$I$68,"Edwin")-COUNTIF($C$69:$I$72,"Edwin")+COUNTIF($C$84:$I$88,"Edwin")-COUNTIF($C$89:$I$93,"Edwin")+COUNTIF($C$105:$D$109,"Edwin")-COUNTIF($C$110:$D$115,"Edwin")</f>
        <v>14</v>
      </c>
      <c r="K122" s="39">
        <f>COUNTIF($C$59:$I$63,"Edwin")+COUNTIF($C$80:$I$83,"Edwin")+COUNTIF($C$101:$D$104,"Edwin")+COUNTIF($C$69:$I$72,"Edwin")+COUNTIF($C$89:$I$93,"Edwin")+COUNTIF($C$110:$D$115,"Edwin")</f>
        <v>3</v>
      </c>
      <c r="L122" s="41">
        <f t="shared" si="5"/>
        <v>19</v>
      </c>
      <c r="N122">
        <v>3</v>
      </c>
    </row>
    <row r="123" spans="1:16" x14ac:dyDescent="0.25">
      <c r="C123" s="38" t="s">
        <v>10</v>
      </c>
      <c r="D123" s="39">
        <f>COUNTIF($C$8:$I$12,"Rene")-COUNTIF($C$14:$I$19,"Rene")+COUNTIF($C$33:$I$37,"Rene")-COUNTIF($C$38:$I$42,"Rene")+COUNTIF($C$54:$E$58,"Rene")-COUNTIF($C$59:$E$63,"Rene")</f>
        <v>9</v>
      </c>
      <c r="E123" s="39">
        <f>COUNTIF($C$20:$I$24,"Rene")-COUNTIF($C$25:$I$30,"Rene")+COUNTIF($C$43:$I$47,"Rene")-COUNTIF($C$48:$I$51,"Rene")+COUNTIF($C$64:$E$68,"Rene")-COUNTIF($C$69:$E$72,"Rene")</f>
        <v>12</v>
      </c>
      <c r="F123" s="39">
        <f>+COUNTIF($C$14:$I$19,"Rene")+COUNTIF($C$38:$I$42,"Rene")+COUNTIF($C$59:$E$63,"Rene")+COUNTIF($C$25:$I$30,"Rene")+COUNTIF($C$48:$I$51,"Rene")+COUNTIF($C$69:$E$72,"Rene")</f>
        <v>1</v>
      </c>
      <c r="G123" s="40">
        <f t="shared" si="6"/>
        <v>22</v>
      </c>
      <c r="H123" s="38" t="s">
        <v>10</v>
      </c>
      <c r="I123" s="39">
        <f>COUNTIF($C$54:$I$58,"Rene")-COUNTIF($C$59:$I$63,"Rene")+COUNTIF($C$75:$I$79,"Rene")-COUNTIF($C$80:$I$83,"Rene")+COUNTIF($C$96:$D$100,"Rene")-COUNTIF($C$101:$D$104,"Rene")</f>
        <v>12</v>
      </c>
      <c r="J123" s="39">
        <f>COUNTIF($C$64:$I$68,"Rene")-COUNTIF($C$69:$I$72,"Rene")+COUNTIF($C$84:$I$88,"Rene")-COUNTIF($C$89:$I$93,"Rene")+COUNTIF($C$105:$D$109,"Rene")-COUNTIF($C$110:$D$115,"Rene")</f>
        <v>7</v>
      </c>
      <c r="K123" s="39">
        <f>COUNTIF($C$59:$I$63,"Rene")+COUNTIF($C$80:$I$83,"Rene")+COUNTIF($C$101:$D$104,"Rene")+COUNTIF($C$69:$I$72,"Rene")+COUNTIF($C$89:$I$93,"Rene")+COUNTIF($C$110:$D$115,"Rene")</f>
        <v>3</v>
      </c>
      <c r="L123" s="40">
        <f t="shared" si="5"/>
        <v>22</v>
      </c>
      <c r="N123">
        <v>2</v>
      </c>
      <c r="O123">
        <v>1</v>
      </c>
      <c r="P123" t="s">
        <v>35</v>
      </c>
    </row>
    <row r="124" spans="1:16" x14ac:dyDescent="0.25">
      <c r="C124" t="s">
        <v>9</v>
      </c>
      <c r="D124" s="39">
        <f>COUNTIF($C$8:$I$12,"Luis D")-COUNTIF($C$14:$I$19,"Luis D")+COUNTIF($C$33:$I$37,"Luis D")-COUNTIF($C$38:$I$42,"Luis D")+COUNTIF($C$54:$E$58,"Luis D")-COUNTIF($C$59:$E$63,"Luis D")</f>
        <v>7</v>
      </c>
      <c r="E124" s="39">
        <f>COUNTIF($C$20:$I$24,"Luis D")-COUNTIF($C$25:$I$30,"Luis D")+COUNTIF($C$43:$I$47,"Luis D")-COUNTIF($C$48:$I$51,"Luis D")+COUNTIF($C$64:$E$68,"Luis D")-COUNTIF($C$69:$E$72,"Luis D")</f>
        <v>9</v>
      </c>
      <c r="F124" s="39">
        <f>+COUNTIF($C$14:$I$19,"Luis D")+COUNTIF($C$38:$I$42,"Luis D")+COUNTIF($C$59:$E$63,"Luis D")+COUNTIF($C$25:$I$30,"Luis D")+COUNTIF($C$48:$I$51,"Luis D")+COUNTIF($C$69:$E$72,"Luis D")</f>
        <v>3</v>
      </c>
      <c r="G124" s="40">
        <f t="shared" si="6"/>
        <v>19</v>
      </c>
      <c r="H124" t="s">
        <v>9</v>
      </c>
      <c r="I124" s="39">
        <f>COUNTIF($C$54:$I$58,"Luis D")-COUNTIF($C$59:$I$63,"Luis D")+COUNTIF($C$75:$I$79,"Luis D")-COUNTIF($C$80:$I$83,"Luis D")+COUNTIF($C$96:$D$100,"Luis D")-COUNTIF($C$101:$D$104,"Luis D")</f>
        <v>2</v>
      </c>
      <c r="J124" s="39">
        <f>COUNTIF($C$64:$I$68,"Luis D")-COUNTIF($C$69:$I$72,"Luis D")+COUNTIF($C$84:$I$88,"Luis D")-COUNTIF($C$89:$I$93,"Luis D")+COUNTIF($C$105:$D$109,"Luis D")-COUNTIF($C$110:$D$115,"Luis D")</f>
        <v>12</v>
      </c>
      <c r="K124" s="39">
        <f>COUNTIF($C$59:$I$63,"Luis D")+COUNTIF($C$80:$I$83,"Luis D")+COUNTIF($C$101:$D$104,"Luis D")+COUNTIF($C$69:$I$72,"Luis D")+COUNTIF($C$89:$I$93,"Luis D")+COUNTIF($C$110:$D$115,"Luis D")</f>
        <v>2</v>
      </c>
      <c r="L124" s="41">
        <f t="shared" si="5"/>
        <v>16</v>
      </c>
      <c r="N124">
        <v>3</v>
      </c>
    </row>
    <row r="125" spans="1:16" x14ac:dyDescent="0.25">
      <c r="C125" s="38" t="s">
        <v>11</v>
      </c>
      <c r="D125" s="39">
        <f>COUNTIF($C$8:$I$12,"Julio")-COUNTIF($C$14:$I$19,"Julio")+COUNTIF($C$33:$I$37,"Julio")-COUNTIF($C$38:$I$42,"Julio")+COUNTIF($C$54:$E$58,"Julio")-COUNTIF($C$59:$E$63,"Julio")</f>
        <v>10</v>
      </c>
      <c r="E125" s="39">
        <f>COUNTIF($C$20:$I$24,"Julio")-COUNTIF($C$25:$I$30,"Julio")+COUNTIF($C$43:$I$47,"Julio")-COUNTIF($C$48:$I$51,"Julio")+COUNTIF($C$64:$E$68,"Julio")-COUNTIF($C$69:$E$72,"Julio")</f>
        <v>7</v>
      </c>
      <c r="F125" s="39">
        <f>+COUNTIF($C$14:$I$19,"Julio")+COUNTIF($C$38:$I$42,"Julio")+COUNTIF($C$59:$E$63,"Julio")+COUNTIF($C$25:$I$30,"Julio")+COUNTIF($C$48:$I$51,"Julio")+COUNTIF($C$69:$E$72,"Julio")</f>
        <v>2</v>
      </c>
      <c r="G125" s="40">
        <f t="shared" si="6"/>
        <v>19</v>
      </c>
      <c r="H125" s="38" t="s">
        <v>11</v>
      </c>
      <c r="I125" s="39">
        <f>COUNTIF($C$54:$I$58,"Julio")-COUNTIF($C$59:$I$63,"Julio")+COUNTIF($C$75:$I$79,"Julio")-COUNTIF($C$80:$I$83,"Julio")+COUNTIF($C$96:$D$100,"Julio")-COUNTIF($C$101:$D$104,"Julio")</f>
        <v>12</v>
      </c>
      <c r="J125" s="39">
        <f>COUNTIF($C$64:$I$68,"Julio")-COUNTIF($C$69:$I$72,"Julio")+COUNTIF($C$84:$I$88,"Julio")-COUNTIF($C$89:$I$93,"Julio")+COUNTIF($C$105:$D$109,"Julio")-COUNTIF($C$110:$D$115,"Julio")</f>
        <v>3</v>
      </c>
      <c r="K125" s="39">
        <f>COUNTIF($C$59:$I$63,"Julio")+COUNTIF($C$80:$I$83,"Julio")+COUNTIF($C$101:$D$104,"Julio")+COUNTIF($C$69:$I$72,"Julio")+COUNTIF($C$89:$I$93,"Julio")+COUNTIF($C$110:$D$115,"Julio")</f>
        <v>2</v>
      </c>
      <c r="L125" s="40">
        <f>+K125+J125+I125</f>
        <v>17</v>
      </c>
      <c r="N125">
        <v>3</v>
      </c>
    </row>
    <row r="126" spans="1:16" x14ac:dyDescent="0.25">
      <c r="C126" t="s">
        <v>8</v>
      </c>
      <c r="D126" s="39">
        <f>COUNTIF($C$8:$I$12,"Joel")-COUNTIF($C$14:$I$19,"Joel")+COUNTIF($C$33:$I$37,"Joel")-COUNTIF($C$38:$I$42,"Joel")+COUNTIF($C$54:$E$58,"Joel")-COUNTIF($C$59:$E$63,"Joel")</f>
        <v>11</v>
      </c>
      <c r="E126" s="39">
        <f>COUNTIF($C$20:$I$24,"Joel")-COUNTIF($C$25:$I$30,"Joel")+COUNTIF($C$43:$I$47,"Joel")-COUNTIF($C$48:$I$51,"Joel")+COUNTIF($C$64:$E$68,"Joel")-COUNTIF($C$69:$E$72,"Joel")</f>
        <v>3</v>
      </c>
      <c r="F126" s="39">
        <f>+COUNTIF($C$14:$I$19,"Joel")+COUNTIF($C$38:$I$42,"Joel")+COUNTIF($C$59:$E$63,"Joel")+COUNTIF($C$25:$I$30,"Joel")+COUNTIF($C$48:$I$51,"Joel")+COUNTIF($C$69:$E$72,"Joel")</f>
        <v>3</v>
      </c>
      <c r="G126" s="40">
        <f t="shared" si="6"/>
        <v>17</v>
      </c>
      <c r="H126" t="s">
        <v>8</v>
      </c>
      <c r="I126" s="39">
        <f>COUNTIF($C$54:$I$58,"Joel")-COUNTIF($C$59:$I$63,"Joel")+COUNTIF($C$75:$I$79,"Joel")-COUNTIF($C$80:$I$83,"Joel")+COUNTIF($C$96:$D$100,"Joel")-COUNTIF($C$101:$D$104,"Joel")</f>
        <v>14</v>
      </c>
      <c r="J126" s="39">
        <f>COUNTIF($C$64:$I$68,"Joel")-COUNTIF($C$69:$I$72,"Joel")+COUNTIF($C$84:$I$88,"Joel")-COUNTIF($C$89:$I$93,"Joel")+COUNTIF($C$105:$D$109,"Joel")-COUNTIF($C$110:$D$115,"Joel")</f>
        <v>0</v>
      </c>
      <c r="K126" s="39">
        <f>COUNTIF($C$59:$I$63,"Joel")+COUNTIF($C$80:$I$83,"Joel")+COUNTIF($C$101:$D$104,"Joel")+COUNTIF($C$69:$I$72,"Joel")+COUNTIF($C$89:$I$93,"Joel")+COUNTIF($C$110:$D$115,"Joel")</f>
        <v>2</v>
      </c>
      <c r="L126" s="41">
        <f t="shared" si="5"/>
        <v>16</v>
      </c>
      <c r="N126">
        <v>3</v>
      </c>
    </row>
    <row r="127" spans="1:16" x14ac:dyDescent="0.25">
      <c r="C127" s="38" t="s">
        <v>6</v>
      </c>
      <c r="D127" s="39">
        <f>COUNTIF($C$8:$I$12,"Jose")-COUNTIF($C$14:$I$19,"Jose")+COUNTIF($C$33:$I$37,"Jose")-COUNTIF($C$38:$I$42,"Jose")+COUNTIF($C$54:$E$58,"Jose")-COUNTIF($C$59:$E$63,"Jose")</f>
        <v>5</v>
      </c>
      <c r="E127" s="39">
        <f>COUNTIF($C$20:$I$24,"Jose")-COUNTIF($C$25:$I$30,"Jose")+COUNTIF($C$43:$I$47,"Jose")-COUNTIF($C$48:$I$51,"Jose")+COUNTIF($C$64:$E$68,"Jose")-COUNTIF($C$69:$E$72,"Jose")</f>
        <v>10</v>
      </c>
      <c r="F127" s="39">
        <f>+COUNTIF($C$14:$I$19,"Jose")+COUNTIF($C$38:$I$42,"Jose")+COUNTIF($C$59:$E$63,"Jose")+COUNTIF($C$25:$I$30,"Jose")+COUNTIF($C$48:$I$51,"Jose")+COUNTIF($C$69:$E$72,"Jose")</f>
        <v>2</v>
      </c>
      <c r="G127" s="40">
        <f t="shared" si="6"/>
        <v>17</v>
      </c>
      <c r="H127" s="38" t="s">
        <v>6</v>
      </c>
      <c r="I127" s="39">
        <f>COUNTIF($C$54:$I$58,"Jose")-COUNTIF($C$59:$I$63,"Jose")+COUNTIF($C$75:$I$79,"Jose")-COUNTIF($C$80:$I$83,"Jose")+COUNTIF($C$96:$D$100,"Jose")-COUNTIF($C$101:$D$104,"Jose")</f>
        <v>0</v>
      </c>
      <c r="J127" s="39">
        <f>COUNTIF($C$64:$I$68,"Jose")-COUNTIF($C$69:$I$72,"Jose")+COUNTIF($C$84:$I$88,"Jose")-COUNTIF($C$89:$I$93,"Jose")+COUNTIF($C$105:$D$109,"Jose")-COUNTIF($C$110:$D$115,"Jose")</f>
        <v>15</v>
      </c>
      <c r="K127" s="39">
        <f>COUNTIF($C$59:$I$63,"Jose")+COUNTIF($C$80:$I$83,"Jose")+COUNTIF($C$101:$D$104,"Jose")+COUNTIF($C$69:$I$72,"Jose")+COUNTIF($C$89:$I$93,"Jose")+COUNTIF($C$110:$D$115,"Jose")</f>
        <v>2</v>
      </c>
      <c r="L127" s="40">
        <f t="shared" si="5"/>
        <v>17</v>
      </c>
      <c r="N127">
        <v>3</v>
      </c>
    </row>
    <row r="128" spans="1:16" x14ac:dyDescent="0.25">
      <c r="C128" t="s">
        <v>14</v>
      </c>
      <c r="D128" s="39">
        <f>COUNTIF($C$8:$I$12,"Lester")-COUNTIF($C$14:$I$19,"Lester")+COUNTIF($C$33:$I$37,"Lester")-COUNTIF($C$38:$I$42,"Lester")+COUNTIF($C$54:$E$58,"Lester")-COUNTIF($C$59:$E$63,"Lester")</f>
        <v>10</v>
      </c>
      <c r="E128" s="39">
        <f>COUNTIF($C$20:$I$24,"Lester")-COUNTIF($C$25:$I$30,"Lester")+COUNTIF($C$43:$I$47,"Lester")-COUNTIF($C$48:$I$51,"Lester")+COUNTIF($C$64:$E$68,"Lester")-COUNTIF($C$69:$E$72,"Lester")</f>
        <v>11</v>
      </c>
      <c r="F128" s="39">
        <f>+COUNTIF($C$14:$I$19,"Lester")+COUNTIF($C$38:$I$42,"Lester")+COUNTIF($C$59:$E$63,"Lester")+COUNTIF($C$25:$I$30,"Lester")+COUNTIF($C$48:$I$51,"Lester")+COUNTIF($C$69:$E$72,"Lester")</f>
        <v>4</v>
      </c>
      <c r="G128" s="40">
        <f t="shared" si="6"/>
        <v>25</v>
      </c>
      <c r="H128" t="s">
        <v>14</v>
      </c>
      <c r="I128" s="39">
        <f>COUNTIF($C$54:$I$58,"Lester")-COUNTIF($C$59:$I$63,"Lester")+COUNTIF($C$75:$I$79,"Lester")-COUNTIF($C$80:$I$83,"Lester")+COUNTIF($C$96:$D$100,"Lester")-COUNTIF($C$101:$D$104,"Lester")</f>
        <v>6</v>
      </c>
      <c r="J128" s="39">
        <f>COUNTIF($C$64:$I$68,"Lester")-COUNTIF($C$69:$I$72,"Lester")+COUNTIF($C$84:$I$88,"Lester")-COUNTIF($C$89:$I$93,"Lester")+COUNTIF($C$105:$D$109,"Lester")-COUNTIF($C$110:$D$115,"Lester")</f>
        <v>14</v>
      </c>
      <c r="K128" s="39">
        <f>COUNTIF($C$59:$I$63,"Lester")+COUNTIF($C$80:$I$83,"Lester")+COUNTIF($C$101:$D$104,"Lester")+COUNTIF($C$69:$I$72,"Lester")+COUNTIF($C$89:$I$93,"Lester")+COUNTIF($C$110:$D$115,"Lester")</f>
        <v>1</v>
      </c>
      <c r="L128" s="41">
        <f t="shared" si="5"/>
        <v>21</v>
      </c>
    </row>
    <row r="129" spans="3:12" x14ac:dyDescent="0.25">
      <c r="D129" s="2">
        <f>SUM(D121:D128)</f>
        <v>64</v>
      </c>
      <c r="E129" s="2">
        <f t="shared" ref="E129:G129" si="7">SUM(E121:E128)</f>
        <v>74</v>
      </c>
      <c r="F129" s="2">
        <f t="shared" si="7"/>
        <v>18</v>
      </c>
      <c r="G129" s="2">
        <f t="shared" si="7"/>
        <v>156</v>
      </c>
      <c r="I129" s="2">
        <f t="shared" ref="I129:L129" si="8">SUM(I121:I128)</f>
        <v>57</v>
      </c>
      <c r="J129" s="2">
        <f t="shared" si="8"/>
        <v>70</v>
      </c>
      <c r="K129" s="2">
        <f t="shared" si="8"/>
        <v>18</v>
      </c>
      <c r="L129" s="2">
        <f t="shared" si="8"/>
        <v>145</v>
      </c>
    </row>
    <row r="134" spans="3:12" x14ac:dyDescent="0.25">
      <c r="C134" t="s">
        <v>36</v>
      </c>
      <c r="E134">
        <f>+F129+K129</f>
        <v>36</v>
      </c>
    </row>
    <row r="136" spans="3:12" x14ac:dyDescent="0.25">
      <c r="C136" t="s">
        <v>37</v>
      </c>
      <c r="E136">
        <f>7*28</f>
        <v>196</v>
      </c>
    </row>
  </sheetData>
  <mergeCells count="28">
    <mergeCell ref="B2:I2"/>
    <mergeCell ref="B3:I3"/>
    <mergeCell ref="A7:A30"/>
    <mergeCell ref="B8:B12"/>
    <mergeCell ref="B20:B24"/>
    <mergeCell ref="B25:B27"/>
    <mergeCell ref="A53:A72"/>
    <mergeCell ref="B54:B58"/>
    <mergeCell ref="B61:B62"/>
    <mergeCell ref="B64:B68"/>
    <mergeCell ref="B69:B70"/>
    <mergeCell ref="A32:A51"/>
    <mergeCell ref="B33:B37"/>
    <mergeCell ref="B40:B41"/>
    <mergeCell ref="B43:B47"/>
    <mergeCell ref="B48:B49"/>
    <mergeCell ref="C119:G119"/>
    <mergeCell ref="I119:M119"/>
    <mergeCell ref="A74:A93"/>
    <mergeCell ref="B75:B79"/>
    <mergeCell ref="B84:B88"/>
    <mergeCell ref="B89:B90"/>
    <mergeCell ref="B91:B92"/>
    <mergeCell ref="A95:A115"/>
    <mergeCell ref="B96:B100"/>
    <mergeCell ref="B105:B109"/>
    <mergeCell ref="B110:B112"/>
    <mergeCell ref="B113:B114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0233-8202-204E-B542-387000A648CF}">
  <sheetPr>
    <pageSetUpPr fitToPage="1"/>
  </sheetPr>
  <dimension ref="A2:T159"/>
  <sheetViews>
    <sheetView showGridLines="0" topLeftCell="A78" workbookViewId="0">
      <selection activeCell="A32" sqref="A1:XFD1048576"/>
    </sheetView>
  </sheetViews>
  <sheetFormatPr baseColWidth="10" defaultColWidth="9.125" defaultRowHeight="15.75" outlineLevelCol="1" x14ac:dyDescent="0.25"/>
  <cols>
    <col min="2" max="2" width="14.625" customWidth="1"/>
    <col min="3" max="3" width="12.625" customWidth="1"/>
    <col min="4" max="4" width="16.375" customWidth="1" outlineLevel="1"/>
    <col min="5" max="5" width="15.5" customWidth="1" outlineLevel="1"/>
    <col min="6" max="6" width="16.125" customWidth="1" outlineLevel="1"/>
    <col min="7" max="7" width="15.5" customWidth="1" outlineLevel="1"/>
    <col min="8" max="8" width="13.875" customWidth="1" outlineLevel="1"/>
    <col min="9" max="9" width="15.5" bestFit="1" customWidth="1"/>
    <col min="10" max="10" width="22.5" customWidth="1"/>
    <col min="11" max="11" width="16.875" customWidth="1"/>
    <col min="12" max="12" width="11.125" customWidth="1"/>
    <col min="13" max="13" width="10.125" bestFit="1" customWidth="1"/>
    <col min="14" max="15" width="17.375" customWidth="1"/>
    <col min="16" max="16" width="10" customWidth="1"/>
    <col min="17" max="17" width="12.625" customWidth="1"/>
    <col min="18" max="18" width="8.125" bestFit="1" customWidth="1"/>
    <col min="19" max="19" width="10.5" bestFit="1" customWidth="1"/>
    <col min="21" max="24" width="6.5" customWidth="1"/>
  </cols>
  <sheetData>
    <row r="2" spans="1:18" ht="21" customHeight="1" x14ac:dyDescent="0.35">
      <c r="B2" s="102" t="s">
        <v>0</v>
      </c>
      <c r="C2" s="102"/>
      <c r="D2" s="102"/>
      <c r="E2" s="102"/>
      <c r="F2" s="102"/>
      <c r="G2" s="102"/>
      <c r="H2" s="102"/>
      <c r="I2" s="102"/>
      <c r="K2" s="1"/>
    </row>
    <row r="3" spans="1:18" ht="18.75" customHeight="1" x14ac:dyDescent="0.3">
      <c r="B3" s="103" t="s">
        <v>38</v>
      </c>
      <c r="C3" s="103"/>
      <c r="D3" s="103"/>
      <c r="E3" s="103"/>
      <c r="F3" s="103"/>
      <c r="G3" s="103"/>
      <c r="H3" s="103"/>
      <c r="I3" s="103"/>
      <c r="K3" s="1"/>
    </row>
    <row r="4" spans="1:18" x14ac:dyDescent="0.25">
      <c r="O4" s="2"/>
    </row>
    <row r="5" spans="1:18" ht="18.75" x14ac:dyDescent="0.3">
      <c r="B5" s="3" t="s">
        <v>1</v>
      </c>
      <c r="N5" t="s">
        <v>39</v>
      </c>
    </row>
    <row r="6" spans="1:18" ht="18.75" hidden="1" x14ac:dyDescent="0.3">
      <c r="B6" s="3"/>
    </row>
    <row r="7" spans="1:18" hidden="1" x14ac:dyDescent="0.25">
      <c r="L7" s="4"/>
      <c r="N7" s="5" t="s">
        <v>40</v>
      </c>
      <c r="O7" s="5" t="s">
        <v>41</v>
      </c>
      <c r="P7" s="4" t="s">
        <v>42</v>
      </c>
      <c r="Q7" t="s">
        <v>43</v>
      </c>
      <c r="R7" s="42">
        <v>46143</v>
      </c>
    </row>
    <row r="8" spans="1:18" hidden="1" x14ac:dyDescent="0.25">
      <c r="A8" s="104" t="s">
        <v>2</v>
      </c>
      <c r="B8" s="6" t="s">
        <v>3</v>
      </c>
      <c r="C8" s="6" t="s">
        <v>127</v>
      </c>
      <c r="D8" s="6" t="s">
        <v>128</v>
      </c>
      <c r="E8" s="6" t="s">
        <v>23</v>
      </c>
      <c r="F8" s="43" t="s">
        <v>24</v>
      </c>
      <c r="G8" s="43" t="s">
        <v>25</v>
      </c>
      <c r="H8" s="43" t="s">
        <v>44</v>
      </c>
      <c r="I8" s="6" t="s">
        <v>26</v>
      </c>
      <c r="L8" s="4"/>
      <c r="M8" s="7" t="s">
        <v>4</v>
      </c>
      <c r="N8" s="8"/>
      <c r="O8" s="8"/>
      <c r="P8" s="4"/>
      <c r="Q8" s="4"/>
    </row>
    <row r="9" spans="1:18" hidden="1" x14ac:dyDescent="0.25">
      <c r="A9" s="104"/>
      <c r="B9" s="105" t="s">
        <v>5</v>
      </c>
      <c r="C9" s="9"/>
      <c r="D9" s="9"/>
      <c r="E9" s="9" t="s">
        <v>6</v>
      </c>
      <c r="F9" s="9" t="s">
        <v>6</v>
      </c>
      <c r="G9" s="10" t="s">
        <v>6</v>
      </c>
      <c r="H9" s="10" t="s">
        <v>6</v>
      </c>
      <c r="I9" s="10" t="s">
        <v>6</v>
      </c>
      <c r="K9" s="11"/>
      <c r="L9" s="11"/>
      <c r="M9" t="s">
        <v>7</v>
      </c>
      <c r="N9" s="12">
        <v>46101</v>
      </c>
      <c r="O9" s="12"/>
      <c r="P9" s="4"/>
      <c r="Q9" s="4"/>
    </row>
    <row r="10" spans="1:18" hidden="1" x14ac:dyDescent="0.25">
      <c r="A10" s="104"/>
      <c r="B10" s="106"/>
      <c r="C10" s="9"/>
      <c r="D10" s="10"/>
      <c r="E10" s="10" t="s">
        <v>7</v>
      </c>
      <c r="F10" s="10" t="s">
        <v>7</v>
      </c>
      <c r="G10" s="10" t="s">
        <v>7</v>
      </c>
      <c r="H10" s="9" t="s">
        <v>9</v>
      </c>
      <c r="I10" s="9" t="s">
        <v>9</v>
      </c>
      <c r="K10" s="11"/>
      <c r="L10" s="11"/>
      <c r="M10" s="7" t="s">
        <v>10</v>
      </c>
      <c r="N10" s="13">
        <v>46095</v>
      </c>
      <c r="O10" s="13">
        <v>46122</v>
      </c>
      <c r="P10" s="44">
        <v>46143</v>
      </c>
      <c r="Q10" s="4"/>
    </row>
    <row r="11" spans="1:18" hidden="1" x14ac:dyDescent="0.25">
      <c r="A11" s="104"/>
      <c r="B11" s="106"/>
      <c r="C11" s="10"/>
      <c r="D11" s="10"/>
      <c r="E11" s="9" t="s">
        <v>9</v>
      </c>
      <c r="F11" s="9" t="s">
        <v>9</v>
      </c>
      <c r="G11" s="9" t="s">
        <v>9</v>
      </c>
      <c r="H11" s="9" t="s">
        <v>8</v>
      </c>
      <c r="I11" s="9" t="s">
        <v>8</v>
      </c>
      <c r="K11" s="11"/>
      <c r="L11" s="11"/>
      <c r="M11" t="s">
        <v>9</v>
      </c>
      <c r="N11" s="14">
        <v>46094</v>
      </c>
      <c r="O11" s="14">
        <v>46123</v>
      </c>
      <c r="P11" s="44">
        <v>46137</v>
      </c>
      <c r="Q11" s="4"/>
    </row>
    <row r="12" spans="1:18" hidden="1" x14ac:dyDescent="0.25">
      <c r="A12" s="104"/>
      <c r="B12" s="106"/>
      <c r="C12" s="9"/>
      <c r="D12" s="9"/>
      <c r="E12" s="10" t="s">
        <v>11</v>
      </c>
      <c r="F12" s="10" t="s">
        <v>8</v>
      </c>
      <c r="G12" s="10" t="s">
        <v>8</v>
      </c>
      <c r="H12" s="9"/>
      <c r="I12" s="9"/>
      <c r="K12" s="11"/>
      <c r="L12" s="11"/>
      <c r="M12" s="7" t="s">
        <v>11</v>
      </c>
      <c r="N12" s="13">
        <v>46102</v>
      </c>
      <c r="O12" s="13">
        <v>46136</v>
      </c>
      <c r="P12" s="4"/>
      <c r="Q12" s="4"/>
    </row>
    <row r="13" spans="1:18" hidden="1" x14ac:dyDescent="0.25">
      <c r="A13" s="104"/>
      <c r="B13" s="107"/>
      <c r="C13" s="9"/>
      <c r="D13" s="9"/>
      <c r="E13" s="9" t="s">
        <v>14</v>
      </c>
      <c r="F13" s="9" t="s">
        <v>14</v>
      </c>
      <c r="G13" s="9" t="s">
        <v>14</v>
      </c>
      <c r="H13" s="9"/>
      <c r="I13" s="9"/>
      <c r="K13" s="11"/>
      <c r="L13" s="11"/>
      <c r="M13" t="s">
        <v>8</v>
      </c>
      <c r="N13" s="14">
        <v>46108</v>
      </c>
      <c r="O13" s="14">
        <v>46129</v>
      </c>
      <c r="P13" s="44">
        <v>46115</v>
      </c>
      <c r="Q13" s="4"/>
    </row>
    <row r="14" spans="1:18" hidden="1" x14ac:dyDescent="0.25">
      <c r="A14" s="104"/>
      <c r="B14" s="18" t="s">
        <v>12</v>
      </c>
      <c r="C14" s="19"/>
      <c r="D14" s="20"/>
      <c r="E14" s="20" t="s">
        <v>11</v>
      </c>
      <c r="F14" s="20" t="s">
        <v>8</v>
      </c>
      <c r="G14" s="21"/>
      <c r="H14" s="19"/>
      <c r="I14" s="20" t="s">
        <v>6</v>
      </c>
      <c r="M14" s="7" t="s">
        <v>13</v>
      </c>
      <c r="N14" s="13">
        <v>46084</v>
      </c>
      <c r="O14" s="13">
        <v>46115</v>
      </c>
      <c r="P14" s="44">
        <v>46130</v>
      </c>
      <c r="Q14" s="44">
        <v>46116</v>
      </c>
    </row>
    <row r="15" spans="1:18" hidden="1" x14ac:dyDescent="0.25">
      <c r="A15" s="104"/>
      <c r="B15" s="18"/>
      <c r="C15" s="19"/>
      <c r="D15" s="19"/>
      <c r="E15" s="19"/>
      <c r="F15" s="19"/>
      <c r="G15" s="19"/>
      <c r="H15" s="19"/>
      <c r="I15" s="19"/>
      <c r="M15" s="7"/>
      <c r="N15" s="13"/>
      <c r="O15" s="13"/>
      <c r="P15" s="4"/>
      <c r="Q15" s="4"/>
    </row>
    <row r="16" spans="1:18" hidden="1" x14ac:dyDescent="0.25">
      <c r="A16" s="104"/>
      <c r="B16" s="18"/>
      <c r="C16" s="19"/>
      <c r="D16" s="19"/>
      <c r="E16" s="23"/>
      <c r="F16" s="19"/>
      <c r="I16" s="19"/>
      <c r="M16" t="s">
        <v>14</v>
      </c>
      <c r="N16" s="12">
        <v>46109</v>
      </c>
      <c r="O16" s="12">
        <v>46110</v>
      </c>
      <c r="P16" s="44">
        <v>46116</v>
      </c>
      <c r="Q16" s="4"/>
    </row>
    <row r="17" spans="1:20" hidden="1" x14ac:dyDescent="0.25">
      <c r="A17" s="104"/>
      <c r="B17" s="22" t="s">
        <v>15</v>
      </c>
      <c r="C17" s="19"/>
      <c r="D17" s="19"/>
      <c r="E17" s="23"/>
      <c r="F17" s="23"/>
      <c r="G17" s="22" t="s">
        <v>6</v>
      </c>
      <c r="H17" s="22" t="s">
        <v>6</v>
      </c>
      <c r="I17" s="19"/>
      <c r="M17" s="7" t="s">
        <v>16</v>
      </c>
      <c r="N17" s="24">
        <v>46088</v>
      </c>
      <c r="O17" s="24">
        <v>46116</v>
      </c>
      <c r="P17" s="44">
        <v>46144</v>
      </c>
      <c r="Q17" s="44">
        <v>46115</v>
      </c>
    </row>
    <row r="18" spans="1:20" hidden="1" x14ac:dyDescent="0.25">
      <c r="A18" s="104"/>
      <c r="B18" s="22"/>
      <c r="C18" s="9"/>
      <c r="D18" s="9"/>
      <c r="E18" s="9"/>
      <c r="F18" s="9"/>
      <c r="G18" s="22" t="s">
        <v>8</v>
      </c>
      <c r="H18" s="23"/>
      <c r="I18" s="91"/>
      <c r="M18" s="7"/>
      <c r="N18" s="24"/>
      <c r="O18" s="24"/>
      <c r="P18" s="4"/>
      <c r="Q18" s="4"/>
    </row>
    <row r="19" spans="1:20" hidden="1" x14ac:dyDescent="0.25">
      <c r="A19" s="104"/>
      <c r="B19" s="25" t="s">
        <v>17</v>
      </c>
      <c r="C19" s="10"/>
      <c r="D19" s="9"/>
      <c r="E19" s="9"/>
      <c r="F19" s="9"/>
      <c r="G19" s="9"/>
      <c r="H19" s="9"/>
      <c r="I19" s="9"/>
      <c r="L19" s="11"/>
      <c r="N19" s="4"/>
      <c r="O19" s="4"/>
      <c r="P19" s="4"/>
      <c r="Q19" s="4"/>
    </row>
    <row r="20" spans="1:20" hidden="1" x14ac:dyDescent="0.25">
      <c r="A20" s="104"/>
      <c r="B20" s="105" t="s">
        <v>18</v>
      </c>
      <c r="C20" s="9"/>
      <c r="D20" s="9"/>
      <c r="E20" s="9" t="s">
        <v>16</v>
      </c>
      <c r="F20" s="9" t="s">
        <v>16</v>
      </c>
      <c r="G20" s="10" t="s">
        <v>16</v>
      </c>
      <c r="H20" s="10" t="s">
        <v>16</v>
      </c>
      <c r="I20" s="91" t="s">
        <v>16</v>
      </c>
      <c r="L20" s="11"/>
    </row>
    <row r="21" spans="1:20" hidden="1" x14ac:dyDescent="0.25">
      <c r="A21" s="104"/>
      <c r="B21" s="106"/>
      <c r="C21" s="9"/>
      <c r="D21" s="9"/>
      <c r="E21" s="9" t="s">
        <v>10</v>
      </c>
      <c r="F21" s="9" t="s">
        <v>10</v>
      </c>
      <c r="G21" s="9" t="s">
        <v>10</v>
      </c>
      <c r="H21" s="9" t="s">
        <v>10</v>
      </c>
      <c r="I21" s="9" t="s">
        <v>10</v>
      </c>
      <c r="L21" s="11"/>
    </row>
    <row r="22" spans="1:20" hidden="1" x14ac:dyDescent="0.25">
      <c r="A22" s="104"/>
      <c r="B22" s="106"/>
      <c r="C22" s="9"/>
      <c r="D22" s="9"/>
      <c r="E22" s="9" t="s">
        <v>8</v>
      </c>
      <c r="F22" s="9" t="s">
        <v>11</v>
      </c>
      <c r="G22" s="9" t="s">
        <v>11</v>
      </c>
      <c r="H22" s="9" t="s">
        <v>11</v>
      </c>
      <c r="I22" s="9" t="s">
        <v>11</v>
      </c>
      <c r="K22" s="26"/>
      <c r="L22" s="11"/>
    </row>
    <row r="23" spans="1:20" hidden="1" x14ac:dyDescent="0.25">
      <c r="A23" s="104"/>
      <c r="B23" s="106"/>
      <c r="C23" s="27"/>
      <c r="D23" s="27"/>
      <c r="E23" s="9"/>
      <c r="F23" s="9"/>
      <c r="G23" s="9"/>
      <c r="H23" s="92" t="s">
        <v>7</v>
      </c>
      <c r="I23" s="92" t="s">
        <v>7</v>
      </c>
      <c r="K23" s="26"/>
      <c r="L23" s="11"/>
    </row>
    <row r="24" spans="1:20" hidden="1" x14ac:dyDescent="0.25">
      <c r="A24" s="104"/>
      <c r="B24" s="107"/>
      <c r="C24" s="27"/>
      <c r="D24" s="27"/>
      <c r="E24" s="9"/>
      <c r="F24" s="9"/>
      <c r="G24" s="9"/>
      <c r="H24" s="10" t="s">
        <v>14</v>
      </c>
      <c r="I24" s="10" t="s">
        <v>14</v>
      </c>
      <c r="K24" s="26"/>
      <c r="L24" s="11"/>
    </row>
    <row r="25" spans="1:20" hidden="1" x14ac:dyDescent="0.25">
      <c r="A25" s="104"/>
      <c r="B25" s="108" t="s">
        <v>12</v>
      </c>
      <c r="C25" s="28"/>
      <c r="D25" s="27"/>
      <c r="E25" s="27"/>
      <c r="F25" s="27"/>
      <c r="G25" s="27"/>
      <c r="H25" s="29"/>
      <c r="I25" s="20" t="s">
        <v>16</v>
      </c>
      <c r="K25" s="26"/>
    </row>
    <row r="26" spans="1:20" hidden="1" x14ac:dyDescent="0.25">
      <c r="A26" s="104"/>
      <c r="B26" s="109"/>
      <c r="C26" s="28"/>
      <c r="D26" s="27"/>
      <c r="E26" s="27"/>
      <c r="F26" s="27"/>
      <c r="G26" s="27"/>
      <c r="H26" s="29"/>
      <c r="I26" s="93" t="s">
        <v>7</v>
      </c>
      <c r="K26" s="26"/>
    </row>
    <row r="27" spans="1:20" hidden="1" x14ac:dyDescent="0.25">
      <c r="A27" s="104"/>
      <c r="B27" s="110"/>
      <c r="C27" s="19"/>
      <c r="D27" s="30"/>
      <c r="E27" s="27"/>
      <c r="F27" s="27"/>
      <c r="G27" s="27"/>
      <c r="H27" s="29"/>
      <c r="I27" s="20" t="s">
        <v>14</v>
      </c>
      <c r="K27" s="26"/>
    </row>
    <row r="28" spans="1:20" hidden="1" x14ac:dyDescent="0.25">
      <c r="A28" s="104"/>
      <c r="B28" s="22" t="s">
        <v>15</v>
      </c>
      <c r="C28" s="19"/>
      <c r="D28" s="30"/>
      <c r="E28" s="27"/>
      <c r="F28" s="19"/>
      <c r="G28" s="22" t="s">
        <v>16</v>
      </c>
      <c r="H28" s="22" t="s">
        <v>16</v>
      </c>
      <c r="I28" s="33"/>
      <c r="K28" s="26"/>
    </row>
    <row r="29" spans="1:20" hidden="1" x14ac:dyDescent="0.25">
      <c r="A29" s="104"/>
      <c r="B29" s="22"/>
      <c r="C29" s="19"/>
      <c r="D29" s="30"/>
      <c r="E29" s="27"/>
      <c r="F29" s="19"/>
      <c r="G29" s="23"/>
      <c r="H29" s="22" t="s">
        <v>14</v>
      </c>
      <c r="I29" s="33"/>
      <c r="K29" s="26"/>
    </row>
    <row r="30" spans="1:20" hidden="1" x14ac:dyDescent="0.25">
      <c r="A30" s="104"/>
      <c r="B30" s="25" t="s">
        <v>17</v>
      </c>
      <c r="C30" s="19"/>
      <c r="D30" s="30"/>
      <c r="E30" s="27"/>
      <c r="F30" s="19"/>
      <c r="G30" s="23"/>
      <c r="H30" s="19"/>
      <c r="I30" s="33"/>
      <c r="K30" s="26"/>
    </row>
    <row r="31" spans="1:20" x14ac:dyDescent="0.25">
      <c r="B31" s="4"/>
      <c r="C31" s="15">
        <f t="shared" ref="C31:H31" si="0">COUNTA(C9:C13,C20:C24)</f>
        <v>0</v>
      </c>
      <c r="D31" s="15">
        <f t="shared" si="0"/>
        <v>0</v>
      </c>
      <c r="E31" s="15">
        <f t="shared" si="0"/>
        <v>8</v>
      </c>
      <c r="F31" s="15">
        <f t="shared" si="0"/>
        <v>8</v>
      </c>
      <c r="G31" s="15">
        <f t="shared" si="0"/>
        <v>8</v>
      </c>
      <c r="H31" s="15">
        <f t="shared" si="0"/>
        <v>8</v>
      </c>
      <c r="I31" s="15">
        <f>COUNTA(I9:I13,I20:I26)</f>
        <v>10</v>
      </c>
      <c r="K31" s="26"/>
      <c r="O31" t="s">
        <v>39</v>
      </c>
    </row>
    <row r="32" spans="1:20" ht="15.95" customHeight="1" x14ac:dyDescent="0.25">
      <c r="A32" s="111" t="s">
        <v>2</v>
      </c>
      <c r="B32" s="6" t="s">
        <v>3</v>
      </c>
      <c r="C32" s="6" t="s">
        <v>49</v>
      </c>
      <c r="D32" s="6" t="s">
        <v>48</v>
      </c>
      <c r="E32" s="6" t="s">
        <v>47</v>
      </c>
      <c r="F32" s="6" t="s">
        <v>50</v>
      </c>
      <c r="G32" s="6" t="s">
        <v>51</v>
      </c>
      <c r="H32" s="6" t="s">
        <v>74</v>
      </c>
      <c r="I32" s="6" t="s">
        <v>75</v>
      </c>
      <c r="K32" s="26"/>
      <c r="O32" s="53" t="s">
        <v>40</v>
      </c>
      <c r="P32" s="53" t="s">
        <v>41</v>
      </c>
      <c r="Q32" s="4" t="s">
        <v>42</v>
      </c>
      <c r="R32" s="4" t="s">
        <v>43</v>
      </c>
      <c r="S32" s="44">
        <v>46143</v>
      </c>
      <c r="T32" t="s">
        <v>45</v>
      </c>
    </row>
    <row r="33" spans="1:20" x14ac:dyDescent="0.25">
      <c r="A33" s="111"/>
      <c r="B33" s="105" t="s">
        <v>5</v>
      </c>
      <c r="C33" s="9" t="s">
        <v>9</v>
      </c>
      <c r="D33" s="9" t="s">
        <v>9</v>
      </c>
      <c r="E33" s="9" t="s">
        <v>9</v>
      </c>
      <c r="F33" s="9" t="s">
        <v>9</v>
      </c>
      <c r="G33" s="9" t="s">
        <v>9</v>
      </c>
      <c r="H33" s="56" t="s">
        <v>9</v>
      </c>
      <c r="I33" s="56" t="s">
        <v>9</v>
      </c>
      <c r="K33" s="26"/>
      <c r="N33" s="7" t="s">
        <v>4</v>
      </c>
      <c r="O33" s="8"/>
      <c r="P33" s="8"/>
      <c r="Q33" s="4"/>
      <c r="R33" s="4"/>
      <c r="T33">
        <v>0</v>
      </c>
    </row>
    <row r="34" spans="1:20" x14ac:dyDescent="0.25">
      <c r="A34" s="111"/>
      <c r="B34" s="106"/>
      <c r="C34" s="9" t="s">
        <v>10</v>
      </c>
      <c r="D34" s="9" t="s">
        <v>8</v>
      </c>
      <c r="E34" s="9" t="s">
        <v>8</v>
      </c>
      <c r="F34" s="9" t="s">
        <v>8</v>
      </c>
      <c r="G34" s="62" t="s">
        <v>7</v>
      </c>
      <c r="H34" s="56" t="s">
        <v>7</v>
      </c>
      <c r="I34" s="56" t="s">
        <v>7</v>
      </c>
      <c r="K34" s="26"/>
      <c r="N34" t="s">
        <v>7</v>
      </c>
      <c r="O34" s="12">
        <v>46101</v>
      </c>
      <c r="P34" s="12" t="s">
        <v>46</v>
      </c>
      <c r="Q34" s="12" t="s">
        <v>46</v>
      </c>
      <c r="R34" s="12" t="s">
        <v>46</v>
      </c>
      <c r="S34" s="12" t="s">
        <v>46</v>
      </c>
      <c r="T34">
        <v>0</v>
      </c>
    </row>
    <row r="35" spans="1:20" x14ac:dyDescent="0.25">
      <c r="A35" s="111"/>
      <c r="B35" s="106"/>
      <c r="C35" s="9" t="s">
        <v>8</v>
      </c>
      <c r="D35" s="56" t="s">
        <v>7</v>
      </c>
      <c r="E35" s="56" t="s">
        <v>7</v>
      </c>
      <c r="F35" s="56" t="s">
        <v>7</v>
      </c>
      <c r="G35" s="17" t="s">
        <v>10</v>
      </c>
      <c r="H35" s="9" t="s">
        <v>10</v>
      </c>
      <c r="I35" s="9" t="s">
        <v>10</v>
      </c>
      <c r="K35" s="26"/>
      <c r="N35" s="7" t="s">
        <v>10</v>
      </c>
      <c r="O35" s="13">
        <v>46095</v>
      </c>
      <c r="P35" s="13">
        <v>46122</v>
      </c>
      <c r="Q35" s="44">
        <v>46143</v>
      </c>
      <c r="R35" s="44">
        <v>46151</v>
      </c>
      <c r="S35" s="42"/>
      <c r="T35">
        <v>1</v>
      </c>
    </row>
    <row r="36" spans="1:20" x14ac:dyDescent="0.25">
      <c r="A36" s="111"/>
      <c r="B36" s="106"/>
      <c r="C36" s="9"/>
      <c r="D36" s="9" t="s">
        <v>10</v>
      </c>
      <c r="E36" s="56" t="s">
        <v>14</v>
      </c>
      <c r="F36" s="56" t="s">
        <v>10</v>
      </c>
      <c r="G36" s="17" t="s">
        <v>8</v>
      </c>
      <c r="H36" s="9" t="s">
        <v>16</v>
      </c>
      <c r="I36" s="9" t="s">
        <v>16</v>
      </c>
      <c r="K36" s="26"/>
      <c r="N36" t="s">
        <v>9</v>
      </c>
      <c r="O36" s="14">
        <v>46094</v>
      </c>
      <c r="P36" s="14">
        <v>46123</v>
      </c>
      <c r="Q36" s="44">
        <v>46137</v>
      </c>
      <c r="R36" s="44">
        <v>46171</v>
      </c>
      <c r="T36">
        <v>1</v>
      </c>
    </row>
    <row r="37" spans="1:20" x14ac:dyDescent="0.25">
      <c r="A37" s="111"/>
      <c r="B37" s="107"/>
      <c r="C37" s="9"/>
      <c r="D37" s="56" t="s">
        <v>16</v>
      </c>
      <c r="E37" s="9" t="s">
        <v>16</v>
      </c>
      <c r="F37" s="9" t="s">
        <v>16</v>
      </c>
      <c r="G37" s="9" t="s">
        <v>16</v>
      </c>
      <c r="H37" s="9" t="s">
        <v>8</v>
      </c>
      <c r="I37" s="9"/>
      <c r="K37" s="26"/>
      <c r="N37" s="7" t="s">
        <v>11</v>
      </c>
      <c r="O37" s="13">
        <v>46102</v>
      </c>
      <c r="P37" s="13">
        <v>46136</v>
      </c>
      <c r="Q37" s="44">
        <v>46150</v>
      </c>
      <c r="R37" s="44">
        <v>46164</v>
      </c>
      <c r="S37" s="42">
        <v>46165</v>
      </c>
      <c r="T37">
        <v>0</v>
      </c>
    </row>
    <row r="38" spans="1:20" x14ac:dyDescent="0.25">
      <c r="A38" s="111"/>
      <c r="B38" s="18" t="s">
        <v>12</v>
      </c>
      <c r="C38" s="19"/>
      <c r="D38" s="20" t="s">
        <v>16</v>
      </c>
      <c r="E38" s="20" t="s">
        <v>14</v>
      </c>
      <c r="F38" s="20" t="s">
        <v>10</v>
      </c>
      <c r="G38" s="21"/>
      <c r="H38" s="19"/>
      <c r="I38" s="20" t="s">
        <v>9</v>
      </c>
      <c r="K38" s="26"/>
      <c r="N38" t="s">
        <v>8</v>
      </c>
      <c r="O38" s="14">
        <v>46108</v>
      </c>
      <c r="P38" s="14">
        <v>46129</v>
      </c>
      <c r="Q38" s="44">
        <v>46115</v>
      </c>
      <c r="R38" s="44">
        <v>46158</v>
      </c>
      <c r="T38">
        <v>1</v>
      </c>
    </row>
    <row r="39" spans="1:20" x14ac:dyDescent="0.25">
      <c r="A39" s="111"/>
      <c r="B39" s="31"/>
      <c r="C39" s="19"/>
      <c r="D39" s="19"/>
      <c r="E39" s="19"/>
      <c r="F39" s="19"/>
      <c r="G39" s="19"/>
      <c r="H39" s="19"/>
      <c r="I39" s="19"/>
      <c r="K39" s="26"/>
      <c r="N39" s="7" t="s">
        <v>13</v>
      </c>
      <c r="O39" s="13">
        <v>46084</v>
      </c>
      <c r="P39" s="13">
        <v>46115</v>
      </c>
      <c r="Q39" s="44">
        <v>46130</v>
      </c>
      <c r="R39" s="44">
        <v>46116</v>
      </c>
      <c r="S39" s="42">
        <v>46172</v>
      </c>
      <c r="T39">
        <v>0</v>
      </c>
    </row>
    <row r="40" spans="1:20" x14ac:dyDescent="0.25">
      <c r="A40" s="111"/>
      <c r="B40" s="115" t="s">
        <v>15</v>
      </c>
      <c r="C40" s="19"/>
      <c r="D40" s="19"/>
      <c r="E40" s="19"/>
      <c r="F40" s="19"/>
      <c r="G40" s="19"/>
      <c r="H40" s="63" t="s">
        <v>9</v>
      </c>
      <c r="I40" s="19"/>
      <c r="K40" s="26"/>
      <c r="N40" s="7"/>
      <c r="O40" s="13"/>
      <c r="P40" s="13"/>
      <c r="Q40" s="4"/>
      <c r="R40" s="4"/>
    </row>
    <row r="41" spans="1:20" x14ac:dyDescent="0.25">
      <c r="A41" s="111"/>
      <c r="B41" s="116"/>
      <c r="C41" s="19"/>
      <c r="D41" s="19"/>
      <c r="E41" s="19"/>
      <c r="F41" s="19"/>
      <c r="G41" s="19"/>
      <c r="H41" s="19"/>
      <c r="I41" s="19"/>
      <c r="K41" s="26"/>
      <c r="N41" t="s">
        <v>14</v>
      </c>
      <c r="O41" s="12">
        <v>46109</v>
      </c>
      <c r="P41" s="12">
        <v>46110</v>
      </c>
      <c r="Q41" s="44">
        <v>46116</v>
      </c>
      <c r="R41" s="42">
        <v>46157</v>
      </c>
      <c r="S41" s="42"/>
      <c r="T41">
        <v>1</v>
      </c>
    </row>
    <row r="42" spans="1:20" x14ac:dyDescent="0.25">
      <c r="A42" s="111"/>
      <c r="B42" s="25" t="s">
        <v>17</v>
      </c>
      <c r="C42" s="19"/>
      <c r="D42" s="19"/>
      <c r="E42" s="19"/>
      <c r="F42" s="19"/>
      <c r="G42" s="19"/>
      <c r="H42" s="19"/>
      <c r="I42" s="19"/>
      <c r="K42" s="26"/>
      <c r="N42" s="7" t="s">
        <v>16</v>
      </c>
      <c r="O42" s="24">
        <v>46088</v>
      </c>
      <c r="P42" s="24">
        <v>46116</v>
      </c>
      <c r="Q42" s="44">
        <v>46144</v>
      </c>
      <c r="R42" s="44">
        <v>46115</v>
      </c>
      <c r="S42" s="42">
        <v>46137</v>
      </c>
      <c r="T42">
        <v>0</v>
      </c>
    </row>
    <row r="43" spans="1:20" x14ac:dyDescent="0.25">
      <c r="A43" s="111"/>
      <c r="B43" s="112" t="s">
        <v>18</v>
      </c>
      <c r="C43" s="9" t="s">
        <v>11</v>
      </c>
      <c r="D43" s="9" t="s">
        <v>11</v>
      </c>
      <c r="E43" s="9" t="s">
        <v>11</v>
      </c>
      <c r="F43" s="9" t="s">
        <v>11</v>
      </c>
      <c r="G43" s="9" t="s">
        <v>11</v>
      </c>
      <c r="H43" s="9" t="s">
        <v>11</v>
      </c>
      <c r="I43" s="9" t="s">
        <v>6</v>
      </c>
      <c r="K43" s="26"/>
      <c r="N43" s="7"/>
      <c r="O43" s="24"/>
      <c r="P43" s="24"/>
      <c r="Q43" s="4"/>
      <c r="R43" s="4"/>
    </row>
    <row r="44" spans="1:20" x14ac:dyDescent="0.25">
      <c r="A44" s="111"/>
      <c r="B44" s="113"/>
      <c r="C44" s="56" t="s">
        <v>6</v>
      </c>
      <c r="D44" s="9" t="s">
        <v>6</v>
      </c>
      <c r="E44" s="9" t="s">
        <v>6</v>
      </c>
      <c r="F44" s="9" t="s">
        <v>6</v>
      </c>
      <c r="G44" s="9" t="s">
        <v>6</v>
      </c>
      <c r="H44" s="17" t="s">
        <v>6</v>
      </c>
      <c r="I44" s="9" t="s">
        <v>14</v>
      </c>
      <c r="K44" s="26"/>
      <c r="O44" s="4"/>
      <c r="P44" s="4"/>
      <c r="Q44" s="4"/>
      <c r="R44" s="4"/>
    </row>
    <row r="45" spans="1:20" x14ac:dyDescent="0.25">
      <c r="A45" s="111"/>
      <c r="B45" s="113"/>
      <c r="C45" s="9" t="s">
        <v>14</v>
      </c>
      <c r="D45" s="9" t="s">
        <v>14</v>
      </c>
      <c r="E45" s="9" t="s">
        <v>10</v>
      </c>
      <c r="F45" s="9" t="s">
        <v>14</v>
      </c>
      <c r="G45" s="9" t="s">
        <v>14</v>
      </c>
      <c r="H45" s="9" t="s">
        <v>14</v>
      </c>
      <c r="I45" s="56" t="s">
        <v>11</v>
      </c>
      <c r="K45" s="26"/>
    </row>
    <row r="46" spans="1:20" x14ac:dyDescent="0.25">
      <c r="A46" s="111"/>
      <c r="B46" s="113"/>
      <c r="C46" s="56" t="s">
        <v>7</v>
      </c>
      <c r="D46" s="9"/>
      <c r="E46" s="9"/>
      <c r="F46" s="9"/>
      <c r="G46" s="9"/>
      <c r="H46" s="62" t="s">
        <v>8</v>
      </c>
      <c r="I46" s="56" t="s">
        <v>8</v>
      </c>
      <c r="K46" s="26"/>
    </row>
    <row r="47" spans="1:20" x14ac:dyDescent="0.25">
      <c r="A47" s="111"/>
      <c r="B47" s="114"/>
      <c r="C47" s="9" t="s">
        <v>16</v>
      </c>
      <c r="D47" s="9"/>
      <c r="E47" s="9"/>
      <c r="F47" s="9"/>
      <c r="G47" s="9"/>
      <c r="H47" s="9"/>
      <c r="I47" s="9"/>
      <c r="K47" s="26"/>
    </row>
    <row r="48" spans="1:20" x14ac:dyDescent="0.25">
      <c r="A48" s="111"/>
      <c r="B48" s="117" t="s">
        <v>12</v>
      </c>
      <c r="C48" s="18" t="s">
        <v>6</v>
      </c>
      <c r="D48" s="19"/>
      <c r="E48" s="27"/>
      <c r="F48" s="27"/>
      <c r="G48" s="27"/>
      <c r="H48" s="29"/>
      <c r="I48" s="20" t="s">
        <v>11</v>
      </c>
      <c r="K48" s="26"/>
    </row>
    <row r="49" spans="1:18" x14ac:dyDescent="0.25">
      <c r="A49" s="111"/>
      <c r="B49" s="118"/>
      <c r="C49" s="28"/>
      <c r="D49" s="19"/>
      <c r="E49" s="27"/>
      <c r="F49" s="27"/>
      <c r="G49" s="27"/>
      <c r="H49" s="29"/>
      <c r="I49" s="94" t="s">
        <v>8</v>
      </c>
      <c r="K49" s="26"/>
    </row>
    <row r="50" spans="1:18" x14ac:dyDescent="0.25">
      <c r="A50" s="111"/>
      <c r="B50" s="22" t="s">
        <v>15</v>
      </c>
      <c r="C50" s="28"/>
      <c r="D50" s="28"/>
      <c r="E50" s="28"/>
      <c r="F50" s="28"/>
      <c r="G50" s="28"/>
      <c r="H50" s="27"/>
      <c r="I50" s="33"/>
      <c r="K50" s="26"/>
    </row>
    <row r="51" spans="1:18" x14ac:dyDescent="0.25">
      <c r="A51" s="111"/>
      <c r="B51" s="25" t="s">
        <v>17</v>
      </c>
      <c r="C51" s="28"/>
      <c r="D51" s="28"/>
      <c r="E51" s="28"/>
      <c r="F51" s="28"/>
      <c r="G51" s="28"/>
      <c r="H51" s="27"/>
      <c r="I51" s="33"/>
      <c r="K51" s="26"/>
    </row>
    <row r="52" spans="1:18" x14ac:dyDescent="0.25">
      <c r="B52" s="4"/>
      <c r="C52" s="15">
        <f>COUNTA(C33:C37,C43:C47)</f>
        <v>8</v>
      </c>
      <c r="D52" s="15">
        <f t="shared" ref="D52:I52" si="1">COUNTA(D33:D37,D43:D47)</f>
        <v>8</v>
      </c>
      <c r="E52" s="15">
        <f t="shared" si="1"/>
        <v>8</v>
      </c>
      <c r="F52" s="15">
        <f t="shared" si="1"/>
        <v>8</v>
      </c>
      <c r="G52" s="15">
        <f t="shared" si="1"/>
        <v>8</v>
      </c>
      <c r="H52" s="15">
        <f t="shared" si="1"/>
        <v>9</v>
      </c>
      <c r="I52" s="15">
        <f t="shared" si="1"/>
        <v>8</v>
      </c>
      <c r="K52" s="26"/>
    </row>
    <row r="53" spans="1:18" ht="15.95" customHeight="1" x14ac:dyDescent="0.25">
      <c r="A53" s="111" t="s">
        <v>19</v>
      </c>
      <c r="B53" s="6" t="s">
        <v>3</v>
      </c>
      <c r="C53" s="6" t="s">
        <v>76</v>
      </c>
      <c r="D53" s="6" t="s">
        <v>77</v>
      </c>
      <c r="E53" s="6" t="s">
        <v>78</v>
      </c>
      <c r="F53" s="6" t="s">
        <v>79</v>
      </c>
      <c r="G53" s="6" t="s">
        <v>80</v>
      </c>
      <c r="H53" s="6" t="s">
        <v>81</v>
      </c>
      <c r="I53" s="6" t="s">
        <v>82</v>
      </c>
      <c r="K53" s="26"/>
    </row>
    <row r="54" spans="1:18" x14ac:dyDescent="0.25">
      <c r="A54" s="111"/>
      <c r="B54" s="112" t="s">
        <v>5</v>
      </c>
      <c r="C54" s="9" t="s">
        <v>9</v>
      </c>
      <c r="D54" s="9" t="s">
        <v>9</v>
      </c>
      <c r="E54" s="9" t="s">
        <v>9</v>
      </c>
      <c r="F54" s="9" t="s">
        <v>9</v>
      </c>
      <c r="G54" s="9" t="s">
        <v>9</v>
      </c>
      <c r="H54" s="9" t="s">
        <v>9</v>
      </c>
      <c r="I54" s="56" t="s">
        <v>9</v>
      </c>
      <c r="K54" s="26"/>
    </row>
    <row r="55" spans="1:18" x14ac:dyDescent="0.25">
      <c r="A55" s="111"/>
      <c r="B55" s="113"/>
      <c r="C55" s="9" t="s">
        <v>10</v>
      </c>
      <c r="D55" s="9" t="s">
        <v>8</v>
      </c>
      <c r="E55" s="9" t="s">
        <v>8</v>
      </c>
      <c r="F55" s="9" t="s">
        <v>8</v>
      </c>
      <c r="G55" s="56" t="s">
        <v>8</v>
      </c>
      <c r="H55" s="9" t="s">
        <v>6</v>
      </c>
      <c r="I55" s="9" t="s">
        <v>6</v>
      </c>
      <c r="K55" s="26"/>
    </row>
    <row r="56" spans="1:18" x14ac:dyDescent="0.25">
      <c r="A56" s="111"/>
      <c r="B56" s="113"/>
      <c r="C56" s="9" t="s">
        <v>8</v>
      </c>
      <c r="D56" s="56" t="s">
        <v>7</v>
      </c>
      <c r="E56" s="9" t="s">
        <v>6</v>
      </c>
      <c r="F56" s="9" t="s">
        <v>6</v>
      </c>
      <c r="G56" s="9" t="s">
        <v>6</v>
      </c>
      <c r="H56" s="9" t="s">
        <v>10</v>
      </c>
      <c r="I56" s="9" t="s">
        <v>10</v>
      </c>
      <c r="K56" s="26"/>
    </row>
    <row r="57" spans="1:18" x14ac:dyDescent="0.25">
      <c r="A57" s="111"/>
      <c r="B57" s="113"/>
      <c r="C57" s="9"/>
      <c r="D57" s="9" t="s">
        <v>10</v>
      </c>
      <c r="E57" s="56" t="s">
        <v>14</v>
      </c>
      <c r="F57" s="56" t="s">
        <v>10</v>
      </c>
      <c r="G57" s="17" t="s">
        <v>10</v>
      </c>
      <c r="H57" s="9"/>
      <c r="I57" s="56" t="s">
        <v>8</v>
      </c>
      <c r="J57" s="34"/>
      <c r="K57" s="26"/>
    </row>
    <row r="58" spans="1:18" x14ac:dyDescent="0.25">
      <c r="A58" s="111"/>
      <c r="B58" s="114"/>
      <c r="C58" s="9"/>
      <c r="D58" s="9"/>
      <c r="E58" s="9"/>
      <c r="F58" s="9"/>
      <c r="G58" s="9"/>
      <c r="H58" s="9"/>
      <c r="I58" s="9"/>
      <c r="K58" s="26"/>
    </row>
    <row r="59" spans="1:18" x14ac:dyDescent="0.25">
      <c r="A59" s="111"/>
      <c r="B59" s="18" t="s">
        <v>12</v>
      </c>
      <c r="C59" s="19"/>
      <c r="D59" s="19"/>
      <c r="E59" s="20" t="s">
        <v>14</v>
      </c>
      <c r="F59" s="20" t="s">
        <v>10</v>
      </c>
      <c r="G59" s="19"/>
      <c r="H59" s="19"/>
      <c r="I59" s="20" t="s">
        <v>9</v>
      </c>
      <c r="K59" s="26"/>
    </row>
    <row r="60" spans="1:18" x14ac:dyDescent="0.25">
      <c r="A60" s="111"/>
      <c r="B60" s="31"/>
      <c r="C60" s="19"/>
      <c r="D60" s="19"/>
      <c r="E60" s="19"/>
      <c r="F60" s="19"/>
      <c r="G60" s="30"/>
      <c r="H60" s="19"/>
      <c r="I60" s="20" t="s">
        <v>8</v>
      </c>
      <c r="K60" s="26"/>
    </row>
    <row r="61" spans="1:18" ht="19.5" customHeight="1" x14ac:dyDescent="0.25">
      <c r="A61" s="111"/>
      <c r="B61" s="115" t="s">
        <v>15</v>
      </c>
      <c r="C61" s="19"/>
      <c r="D61" s="19"/>
      <c r="E61" s="19"/>
      <c r="F61" s="19"/>
      <c r="G61" s="96" t="s">
        <v>8</v>
      </c>
      <c r="H61" s="19"/>
      <c r="I61" s="19"/>
      <c r="K61" s="26"/>
    </row>
    <row r="62" spans="1:18" ht="19.5" customHeight="1" x14ac:dyDescent="0.25">
      <c r="A62" s="111"/>
      <c r="B62" s="116"/>
      <c r="C62" s="19"/>
      <c r="D62" s="19"/>
      <c r="E62" s="19"/>
      <c r="F62" s="19"/>
      <c r="G62" s="95"/>
      <c r="H62" s="33"/>
      <c r="I62" s="19"/>
      <c r="K62" s="26"/>
    </row>
    <row r="63" spans="1:18" x14ac:dyDescent="0.25">
      <c r="A63" s="111"/>
      <c r="B63" s="25" t="s">
        <v>17</v>
      </c>
      <c r="C63" s="19"/>
      <c r="D63" s="19"/>
      <c r="E63" s="19"/>
      <c r="F63" s="19"/>
      <c r="G63" s="33"/>
      <c r="H63" s="33"/>
      <c r="I63" s="19"/>
      <c r="K63" s="26"/>
    </row>
    <row r="64" spans="1:18" x14ac:dyDescent="0.25">
      <c r="A64" s="111"/>
      <c r="B64" s="112" t="s">
        <v>18</v>
      </c>
      <c r="C64" s="9" t="s">
        <v>11</v>
      </c>
      <c r="D64" s="9" t="s">
        <v>11</v>
      </c>
      <c r="E64" s="9" t="s">
        <v>11</v>
      </c>
      <c r="F64" s="9" t="s">
        <v>11</v>
      </c>
      <c r="G64" s="9" t="s">
        <v>11</v>
      </c>
      <c r="H64" s="9" t="s">
        <v>11</v>
      </c>
      <c r="I64" s="56" t="s">
        <v>6</v>
      </c>
      <c r="K64" s="26"/>
    </row>
    <row r="65" spans="1:14" x14ac:dyDescent="0.25">
      <c r="A65" s="111"/>
      <c r="B65" s="113"/>
      <c r="C65" s="56" t="s">
        <v>6</v>
      </c>
      <c r="D65" s="9" t="s">
        <v>6</v>
      </c>
      <c r="E65" s="56" t="s">
        <v>6</v>
      </c>
      <c r="F65" s="56" t="s">
        <v>6</v>
      </c>
      <c r="G65" s="56" t="s">
        <v>6</v>
      </c>
      <c r="H65" s="56" t="s">
        <v>6</v>
      </c>
      <c r="I65" s="9" t="s">
        <v>14</v>
      </c>
      <c r="K65" s="26"/>
    </row>
    <row r="66" spans="1:14" x14ac:dyDescent="0.25">
      <c r="A66" s="111"/>
      <c r="B66" s="113"/>
      <c r="C66" s="9" t="s">
        <v>14</v>
      </c>
      <c r="D66" s="9" t="s">
        <v>14</v>
      </c>
      <c r="E66" s="9" t="s">
        <v>10</v>
      </c>
      <c r="F66" s="9" t="s">
        <v>14</v>
      </c>
      <c r="G66" s="9" t="s">
        <v>14</v>
      </c>
      <c r="H66" s="56" t="s">
        <v>14</v>
      </c>
      <c r="I66" s="56" t="s">
        <v>11</v>
      </c>
      <c r="J66" s="34"/>
      <c r="K66" s="26"/>
    </row>
    <row r="67" spans="1:14" x14ac:dyDescent="0.25">
      <c r="A67" s="111"/>
      <c r="B67" s="113"/>
      <c r="C67" s="56" t="s">
        <v>7</v>
      </c>
      <c r="E67" s="9" t="s">
        <v>16</v>
      </c>
      <c r="F67" s="9" t="s">
        <v>16</v>
      </c>
      <c r="G67" s="9" t="s">
        <v>16</v>
      </c>
      <c r="H67" s="9" t="s">
        <v>8</v>
      </c>
      <c r="I67" s="56" t="s">
        <v>8</v>
      </c>
      <c r="K67" s="26"/>
    </row>
    <row r="68" spans="1:14" x14ac:dyDescent="0.25">
      <c r="A68" s="111"/>
      <c r="B68" s="114"/>
      <c r="C68" s="9" t="s">
        <v>16</v>
      </c>
      <c r="D68" s="56" t="s">
        <v>16</v>
      </c>
      <c r="E68" s="9"/>
      <c r="F68" s="9"/>
      <c r="G68" s="9"/>
      <c r="H68" s="9" t="s">
        <v>16</v>
      </c>
      <c r="I68" s="9" t="s">
        <v>16</v>
      </c>
      <c r="K68" s="26"/>
    </row>
    <row r="69" spans="1:14" x14ac:dyDescent="0.25">
      <c r="A69" s="111"/>
      <c r="B69" s="117" t="s">
        <v>12</v>
      </c>
      <c r="C69" s="18" t="s">
        <v>6</v>
      </c>
      <c r="D69" s="18" t="s">
        <v>16</v>
      </c>
      <c r="E69" s="27"/>
      <c r="F69" s="27"/>
      <c r="G69" s="27"/>
      <c r="H69" s="19"/>
      <c r="I69" s="20" t="s">
        <v>11</v>
      </c>
    </row>
    <row r="70" spans="1:14" x14ac:dyDescent="0.25">
      <c r="A70" s="111"/>
      <c r="B70" s="118"/>
      <c r="C70" s="19"/>
      <c r="D70" s="19"/>
      <c r="E70" s="27"/>
      <c r="F70" s="27"/>
      <c r="G70" s="27"/>
      <c r="H70" s="19"/>
      <c r="I70" s="33"/>
    </row>
    <row r="71" spans="1:14" x14ac:dyDescent="0.25">
      <c r="A71" s="111"/>
      <c r="B71" s="22" t="s">
        <v>15</v>
      </c>
      <c r="C71" s="19"/>
      <c r="D71" s="19"/>
      <c r="E71" s="19"/>
      <c r="F71" s="19"/>
      <c r="G71" s="27"/>
      <c r="H71" s="63" t="s">
        <v>14</v>
      </c>
      <c r="I71" s="33"/>
      <c r="K71" s="97"/>
      <c r="L71" s="97"/>
      <c r="M71" s="97"/>
      <c r="N71" s="97"/>
    </row>
    <row r="72" spans="1:14" x14ac:dyDescent="0.25">
      <c r="A72" s="111"/>
      <c r="B72" s="25" t="s">
        <v>17</v>
      </c>
      <c r="C72" s="19"/>
      <c r="D72" s="19"/>
      <c r="E72" s="19"/>
      <c r="F72" s="19"/>
      <c r="G72" s="27"/>
      <c r="H72" s="28"/>
      <c r="I72" s="28"/>
      <c r="K72" s="97"/>
      <c r="L72" s="97"/>
      <c r="M72" s="97"/>
      <c r="N72" s="97"/>
    </row>
    <row r="73" spans="1:14" x14ac:dyDescent="0.25">
      <c r="B73" s="4"/>
      <c r="C73" s="15">
        <f>COUNTA(C54:C58,C64:C68)</f>
        <v>8</v>
      </c>
      <c r="D73" s="15">
        <f>COUNTA(D54:D58,D64:D68)</f>
        <v>8</v>
      </c>
      <c r="E73" s="15">
        <f t="shared" ref="E73:I73" si="2">COUNTA(E54:E58,E64:E68)</f>
        <v>8</v>
      </c>
      <c r="F73" s="15">
        <f t="shared" si="2"/>
        <v>8</v>
      </c>
      <c r="G73" s="15">
        <f t="shared" si="2"/>
        <v>8</v>
      </c>
      <c r="H73" s="15">
        <f t="shared" si="2"/>
        <v>8</v>
      </c>
      <c r="I73" s="15">
        <f t="shared" si="2"/>
        <v>9</v>
      </c>
      <c r="K73" s="36"/>
      <c r="L73" s="97"/>
      <c r="M73" s="97"/>
      <c r="N73" s="97"/>
    </row>
    <row r="74" spans="1:14" ht="15.95" customHeight="1" x14ac:dyDescent="0.25">
      <c r="A74" s="111" t="s">
        <v>20</v>
      </c>
      <c r="B74" s="6" t="s">
        <v>3</v>
      </c>
      <c r="C74" s="6" t="s">
        <v>83</v>
      </c>
      <c r="D74" s="6" t="s">
        <v>84</v>
      </c>
      <c r="E74" s="6" t="s">
        <v>85</v>
      </c>
      <c r="F74" s="6" t="s">
        <v>86</v>
      </c>
      <c r="G74" s="6" t="s">
        <v>87</v>
      </c>
      <c r="H74" s="6" t="s">
        <v>88</v>
      </c>
      <c r="I74" s="6" t="s">
        <v>89</v>
      </c>
      <c r="K74" s="97"/>
      <c r="L74" s="97"/>
      <c r="M74" s="97"/>
      <c r="N74" s="97"/>
    </row>
    <row r="75" spans="1:14" x14ac:dyDescent="0.25">
      <c r="A75" s="111"/>
      <c r="B75" s="112" t="s">
        <v>5</v>
      </c>
      <c r="C75" s="9" t="s">
        <v>9</v>
      </c>
      <c r="D75" s="9" t="s">
        <v>9</v>
      </c>
      <c r="E75" s="9" t="s">
        <v>9</v>
      </c>
      <c r="F75" s="9" t="s">
        <v>9</v>
      </c>
      <c r="G75" s="9" t="s">
        <v>9</v>
      </c>
      <c r="H75" s="9" t="s">
        <v>9</v>
      </c>
      <c r="I75" s="56" t="s">
        <v>9</v>
      </c>
      <c r="K75" s="37"/>
      <c r="L75" s="97"/>
      <c r="M75" s="97"/>
      <c r="N75" s="97"/>
    </row>
    <row r="76" spans="1:14" x14ac:dyDescent="0.25">
      <c r="A76" s="111"/>
      <c r="B76" s="113"/>
      <c r="C76" s="9" t="s">
        <v>10</v>
      </c>
      <c r="D76" s="9" t="s">
        <v>8</v>
      </c>
      <c r="E76" s="9" t="s">
        <v>8</v>
      </c>
      <c r="F76" s="9" t="s">
        <v>8</v>
      </c>
      <c r="G76" s="9" t="s">
        <v>8</v>
      </c>
      <c r="H76" s="56" t="s">
        <v>7</v>
      </c>
      <c r="I76" s="56" t="s">
        <v>7</v>
      </c>
      <c r="K76" s="11"/>
    </row>
    <row r="77" spans="1:14" x14ac:dyDescent="0.25">
      <c r="A77" s="111"/>
      <c r="B77" s="113"/>
      <c r="C77" s="9" t="s">
        <v>8</v>
      </c>
      <c r="D77" s="56" t="s">
        <v>7</v>
      </c>
      <c r="E77" s="9" t="s">
        <v>16</v>
      </c>
      <c r="F77" s="9" t="s">
        <v>16</v>
      </c>
      <c r="G77" s="9" t="s">
        <v>16</v>
      </c>
      <c r="H77" s="9" t="s">
        <v>10</v>
      </c>
      <c r="I77" s="9" t="s">
        <v>10</v>
      </c>
      <c r="K77" s="11"/>
    </row>
    <row r="78" spans="1:14" x14ac:dyDescent="0.25">
      <c r="A78" s="111"/>
      <c r="B78" s="113"/>
      <c r="C78" s="9"/>
      <c r="D78" s="9" t="s">
        <v>10</v>
      </c>
      <c r="E78" s="56" t="s">
        <v>14</v>
      </c>
      <c r="F78" s="56" t="s">
        <v>10</v>
      </c>
      <c r="G78" s="56" t="s">
        <v>10</v>
      </c>
      <c r="H78" s="9" t="s">
        <v>16</v>
      </c>
      <c r="I78" s="9" t="s">
        <v>16</v>
      </c>
      <c r="K78" s="11"/>
    </row>
    <row r="79" spans="1:14" x14ac:dyDescent="0.25">
      <c r="A79" s="111"/>
      <c r="B79" s="114"/>
      <c r="C79" s="9"/>
      <c r="D79" s="9"/>
      <c r="E79" s="9"/>
      <c r="F79" s="9"/>
      <c r="G79" s="17"/>
      <c r="H79" s="9" t="s">
        <v>8</v>
      </c>
      <c r="I79" s="9"/>
      <c r="K79" s="11"/>
    </row>
    <row r="80" spans="1:14" x14ac:dyDescent="0.25">
      <c r="A80" s="111"/>
      <c r="B80" s="18" t="s">
        <v>12</v>
      </c>
      <c r="C80" s="19"/>
      <c r="D80" s="19"/>
      <c r="E80" s="20" t="s">
        <v>14</v>
      </c>
      <c r="F80" s="20" t="s">
        <v>10</v>
      </c>
      <c r="G80" s="19"/>
      <c r="H80" s="19"/>
      <c r="I80" s="20" t="s">
        <v>9</v>
      </c>
    </row>
    <row r="81" spans="1:9" x14ac:dyDescent="0.25">
      <c r="A81" s="111"/>
      <c r="B81" s="18"/>
      <c r="C81" s="19"/>
      <c r="D81" s="19"/>
      <c r="E81" s="19"/>
      <c r="F81" s="19"/>
      <c r="G81" s="19"/>
      <c r="H81" s="19"/>
      <c r="I81" s="19"/>
    </row>
    <row r="82" spans="1:9" x14ac:dyDescent="0.25">
      <c r="A82" s="111"/>
      <c r="B82" s="22" t="s">
        <v>15</v>
      </c>
      <c r="C82" s="19"/>
      <c r="D82" s="19"/>
      <c r="E82" s="23"/>
      <c r="F82" s="19"/>
      <c r="G82" s="96" t="s">
        <v>10</v>
      </c>
      <c r="H82" s="23"/>
      <c r="I82" s="19"/>
    </row>
    <row r="83" spans="1:9" x14ac:dyDescent="0.25">
      <c r="A83" s="111"/>
      <c r="B83" s="25" t="s">
        <v>17</v>
      </c>
      <c r="C83" s="19"/>
      <c r="D83" s="19"/>
      <c r="E83" s="23"/>
      <c r="F83" s="23"/>
      <c r="G83" s="21"/>
      <c r="H83" s="23"/>
      <c r="I83" s="19"/>
    </row>
    <row r="84" spans="1:9" x14ac:dyDescent="0.25">
      <c r="A84" s="111"/>
      <c r="B84" s="112" t="s">
        <v>18</v>
      </c>
      <c r="C84" s="9" t="s">
        <v>11</v>
      </c>
      <c r="D84" s="9" t="s">
        <v>11</v>
      </c>
      <c r="E84" s="9" t="s">
        <v>11</v>
      </c>
      <c r="F84" s="9" t="s">
        <v>11</v>
      </c>
      <c r="G84" s="9" t="s">
        <v>11</v>
      </c>
      <c r="H84" s="9" t="s">
        <v>11</v>
      </c>
      <c r="I84" s="90" t="s">
        <v>11</v>
      </c>
    </row>
    <row r="85" spans="1:9" x14ac:dyDescent="0.25">
      <c r="A85" s="111"/>
      <c r="B85" s="113"/>
      <c r="C85" s="56" t="s">
        <v>6</v>
      </c>
      <c r="D85" s="9" t="s">
        <v>6</v>
      </c>
      <c r="E85" s="9" t="s">
        <v>6</v>
      </c>
      <c r="F85" s="9" t="s">
        <v>6</v>
      </c>
      <c r="G85" s="9" t="s">
        <v>6</v>
      </c>
      <c r="H85" s="9" t="s">
        <v>6</v>
      </c>
      <c r="I85" s="9" t="s">
        <v>6</v>
      </c>
    </row>
    <row r="86" spans="1:9" x14ac:dyDescent="0.25">
      <c r="A86" s="111"/>
      <c r="B86" s="113"/>
      <c r="C86" s="9" t="s">
        <v>14</v>
      </c>
      <c r="D86" s="9" t="s">
        <v>14</v>
      </c>
      <c r="E86" s="9" t="s">
        <v>10</v>
      </c>
      <c r="F86" s="9" t="s">
        <v>14</v>
      </c>
      <c r="G86" s="9" t="s">
        <v>14</v>
      </c>
      <c r="H86" s="9" t="s">
        <v>14</v>
      </c>
      <c r="I86" s="9" t="s">
        <v>14</v>
      </c>
    </row>
    <row r="87" spans="1:9" x14ac:dyDescent="0.25">
      <c r="A87" s="111"/>
      <c r="B87" s="113"/>
      <c r="C87" s="9" t="s">
        <v>16</v>
      </c>
      <c r="D87" s="56" t="s">
        <v>16</v>
      </c>
      <c r="E87" s="9"/>
      <c r="F87" s="9"/>
      <c r="G87" s="9"/>
      <c r="H87" s="62" t="s">
        <v>8</v>
      </c>
      <c r="I87" s="62" t="s">
        <v>8</v>
      </c>
    </row>
    <row r="88" spans="1:9" x14ac:dyDescent="0.25">
      <c r="A88" s="111"/>
      <c r="B88" s="114"/>
      <c r="C88" s="56" t="s">
        <v>16</v>
      </c>
      <c r="D88" s="9"/>
      <c r="E88" s="9"/>
      <c r="F88" s="9"/>
      <c r="G88" s="9"/>
      <c r="H88" s="9"/>
      <c r="I88" s="9"/>
    </row>
    <row r="89" spans="1:9" x14ac:dyDescent="0.25">
      <c r="A89" s="111"/>
      <c r="B89" s="117" t="s">
        <v>12</v>
      </c>
      <c r="C89" s="18" t="s">
        <v>6</v>
      </c>
      <c r="D89" s="18" t="s">
        <v>16</v>
      </c>
      <c r="E89" s="27"/>
      <c r="F89" s="27"/>
      <c r="G89" s="27"/>
      <c r="H89" s="29"/>
      <c r="I89" s="20" t="s">
        <v>11</v>
      </c>
    </row>
    <row r="90" spans="1:9" x14ac:dyDescent="0.25">
      <c r="A90" s="111"/>
      <c r="B90" s="118"/>
      <c r="C90" s="19"/>
      <c r="D90" s="27"/>
      <c r="E90" s="27"/>
      <c r="F90" s="27"/>
      <c r="G90" s="27"/>
      <c r="H90" s="29"/>
      <c r="I90" s="20" t="s">
        <v>8</v>
      </c>
    </row>
    <row r="91" spans="1:9" x14ac:dyDescent="0.25">
      <c r="A91" s="111"/>
      <c r="B91" s="115" t="s">
        <v>15</v>
      </c>
      <c r="C91" s="19"/>
      <c r="D91" s="30"/>
      <c r="E91" s="27"/>
      <c r="F91" s="27"/>
      <c r="G91" s="27"/>
      <c r="H91" s="29"/>
      <c r="I91" s="33"/>
    </row>
    <row r="92" spans="1:9" x14ac:dyDescent="0.25">
      <c r="A92" s="111"/>
      <c r="B92" s="116"/>
      <c r="C92" s="19"/>
      <c r="D92" s="30"/>
      <c r="E92" s="27"/>
      <c r="F92" s="19"/>
      <c r="G92" s="23"/>
      <c r="H92" s="29"/>
      <c r="I92" s="33"/>
    </row>
    <row r="93" spans="1:9" x14ac:dyDescent="0.25">
      <c r="A93" s="111"/>
      <c r="B93" s="25" t="s">
        <v>17</v>
      </c>
      <c r="C93" s="19"/>
      <c r="D93" s="30"/>
      <c r="E93" s="27"/>
      <c r="F93" s="19"/>
      <c r="G93" s="23"/>
      <c r="H93" s="29"/>
      <c r="I93" s="33"/>
    </row>
    <row r="94" spans="1:9" x14ac:dyDescent="0.25">
      <c r="B94" s="4"/>
      <c r="C94" s="15">
        <f>COUNTA(C75:C79,C84:C88)</f>
        <v>8</v>
      </c>
      <c r="D94" s="15">
        <f t="shared" ref="D94:I94" si="3">COUNTA(D75:D79,D84:D88)</f>
        <v>8</v>
      </c>
      <c r="E94" s="15">
        <f t="shared" si="3"/>
        <v>7</v>
      </c>
      <c r="F94" s="15">
        <f t="shared" si="3"/>
        <v>7</v>
      </c>
      <c r="G94" s="15">
        <f t="shared" si="3"/>
        <v>7</v>
      </c>
      <c r="H94" s="15">
        <f t="shared" si="3"/>
        <v>9</v>
      </c>
      <c r="I94" s="15">
        <f t="shared" si="3"/>
        <v>8</v>
      </c>
    </row>
    <row r="95" spans="1:9" ht="15.95" customHeight="1" x14ac:dyDescent="0.25">
      <c r="A95" s="111" t="s">
        <v>21</v>
      </c>
      <c r="B95" s="6" t="s">
        <v>3</v>
      </c>
      <c r="C95" s="6" t="s">
        <v>90</v>
      </c>
      <c r="D95" s="6" t="s">
        <v>91</v>
      </c>
      <c r="E95" s="6" t="s">
        <v>92</v>
      </c>
      <c r="F95" s="6" t="s">
        <v>93</v>
      </c>
      <c r="G95" s="6" t="s">
        <v>94</v>
      </c>
      <c r="H95" s="6" t="s">
        <v>95</v>
      </c>
      <c r="I95" s="6" t="s">
        <v>96</v>
      </c>
    </row>
    <row r="96" spans="1:9" x14ac:dyDescent="0.25">
      <c r="A96" s="111"/>
      <c r="B96" s="112" t="s">
        <v>5</v>
      </c>
      <c r="C96" s="9" t="s">
        <v>9</v>
      </c>
      <c r="D96" s="9" t="s">
        <v>9</v>
      </c>
      <c r="E96" s="9" t="s">
        <v>9</v>
      </c>
      <c r="F96" s="9" t="s">
        <v>9</v>
      </c>
      <c r="G96" s="45" t="s">
        <v>9</v>
      </c>
      <c r="H96" s="9" t="s">
        <v>9</v>
      </c>
      <c r="I96" s="56" t="s">
        <v>9</v>
      </c>
    </row>
    <row r="97" spans="1:9" x14ac:dyDescent="0.25">
      <c r="A97" s="111"/>
      <c r="B97" s="113"/>
      <c r="C97" s="9" t="s">
        <v>10</v>
      </c>
      <c r="D97" s="9" t="s">
        <v>8</v>
      </c>
      <c r="E97" s="9" t="s">
        <v>8</v>
      </c>
      <c r="F97" s="9" t="s">
        <v>8</v>
      </c>
      <c r="G97" s="45" t="s">
        <v>8</v>
      </c>
      <c r="H97" s="56" t="s">
        <v>7</v>
      </c>
      <c r="I97" s="56" t="s">
        <v>7</v>
      </c>
    </row>
    <row r="98" spans="1:9" x14ac:dyDescent="0.25">
      <c r="A98" s="111"/>
      <c r="B98" s="113"/>
      <c r="C98" s="9" t="s">
        <v>8</v>
      </c>
      <c r="D98" s="56" t="s">
        <v>7</v>
      </c>
      <c r="E98" s="56" t="s">
        <v>7</v>
      </c>
      <c r="F98" s="56" t="s">
        <v>7</v>
      </c>
      <c r="G98" s="56" t="s">
        <v>7</v>
      </c>
      <c r="H98" s="9" t="s">
        <v>10</v>
      </c>
      <c r="I98" s="9" t="s">
        <v>10</v>
      </c>
    </row>
    <row r="99" spans="1:9" x14ac:dyDescent="0.25">
      <c r="A99" s="111"/>
      <c r="B99" s="113"/>
      <c r="C99" s="9"/>
      <c r="D99" s="9" t="s">
        <v>10</v>
      </c>
      <c r="E99" s="56" t="s">
        <v>14</v>
      </c>
      <c r="F99" s="56" t="s">
        <v>10</v>
      </c>
      <c r="G99" s="9" t="s">
        <v>10</v>
      </c>
      <c r="H99" s="9"/>
      <c r="I99" s="9"/>
    </row>
    <row r="100" spans="1:9" ht="30" x14ac:dyDescent="0.25">
      <c r="A100" s="111"/>
      <c r="B100" s="114"/>
      <c r="C100" s="99" t="s">
        <v>129</v>
      </c>
      <c r="D100" s="9"/>
      <c r="E100" s="9" t="s">
        <v>16</v>
      </c>
      <c r="F100" s="9" t="s">
        <v>16</v>
      </c>
      <c r="G100" s="45" t="s">
        <v>16</v>
      </c>
      <c r="H100" s="9" t="s">
        <v>16</v>
      </c>
      <c r="I100" s="9" t="s">
        <v>16</v>
      </c>
    </row>
    <row r="101" spans="1:9" x14ac:dyDescent="0.25">
      <c r="A101" s="111"/>
      <c r="B101" s="18" t="s">
        <v>12</v>
      </c>
      <c r="C101" s="19"/>
      <c r="D101" s="55"/>
      <c r="E101" s="20" t="s">
        <v>14</v>
      </c>
      <c r="F101" s="20" t="s">
        <v>10</v>
      </c>
      <c r="G101" s="46"/>
      <c r="H101" s="19"/>
      <c r="I101" s="20" t="s">
        <v>9</v>
      </c>
    </row>
    <row r="102" spans="1:9" x14ac:dyDescent="0.25">
      <c r="A102" s="111"/>
      <c r="B102" s="18"/>
      <c r="C102" s="19"/>
      <c r="D102" s="19"/>
      <c r="E102" s="19"/>
      <c r="F102" s="19"/>
      <c r="G102" s="47"/>
      <c r="H102" s="19"/>
      <c r="I102" s="19"/>
    </row>
    <row r="103" spans="1:9" x14ac:dyDescent="0.25">
      <c r="A103" s="111"/>
      <c r="B103" s="22" t="s">
        <v>15</v>
      </c>
      <c r="C103" s="19"/>
      <c r="D103" s="19"/>
      <c r="E103" s="23"/>
      <c r="F103" s="19"/>
      <c r="G103" s="47"/>
      <c r="H103" s="23"/>
      <c r="I103" s="19"/>
    </row>
    <row r="104" spans="1:9" x14ac:dyDescent="0.25">
      <c r="A104" s="111"/>
      <c r="B104" s="25" t="s">
        <v>17</v>
      </c>
      <c r="C104" s="19"/>
      <c r="D104" s="19"/>
      <c r="E104" s="23"/>
      <c r="F104" s="23"/>
      <c r="G104" s="46"/>
      <c r="H104" s="23"/>
      <c r="I104" s="19"/>
    </row>
    <row r="105" spans="1:9" x14ac:dyDescent="0.25">
      <c r="A105" s="111"/>
      <c r="B105" s="112" t="s">
        <v>18</v>
      </c>
      <c r="C105" s="9" t="s">
        <v>11</v>
      </c>
      <c r="D105" s="9" t="s">
        <v>11</v>
      </c>
      <c r="E105" s="9" t="s">
        <v>11</v>
      </c>
      <c r="F105" s="9" t="s">
        <v>11</v>
      </c>
      <c r="G105" s="45" t="s">
        <v>11</v>
      </c>
      <c r="H105" s="9" t="s">
        <v>11</v>
      </c>
      <c r="I105" s="90" t="s">
        <v>11</v>
      </c>
    </row>
    <row r="106" spans="1:9" x14ac:dyDescent="0.25">
      <c r="A106" s="111"/>
      <c r="B106" s="113"/>
      <c r="C106" s="56" t="s">
        <v>6</v>
      </c>
      <c r="D106" s="9" t="s">
        <v>6</v>
      </c>
      <c r="E106" s="9" t="s">
        <v>6</v>
      </c>
      <c r="F106" s="9" t="s">
        <v>6</v>
      </c>
      <c r="G106" s="9" t="s">
        <v>6</v>
      </c>
      <c r="H106" s="9" t="s">
        <v>6</v>
      </c>
      <c r="I106" s="9" t="s">
        <v>6</v>
      </c>
    </row>
    <row r="107" spans="1:9" x14ac:dyDescent="0.25">
      <c r="A107" s="111"/>
      <c r="B107" s="113"/>
      <c r="C107" s="9" t="s">
        <v>14</v>
      </c>
      <c r="D107" s="56" t="s">
        <v>14</v>
      </c>
      <c r="E107" s="9" t="s">
        <v>10</v>
      </c>
      <c r="F107" s="56" t="s">
        <v>14</v>
      </c>
      <c r="G107" s="56" t="s">
        <v>14</v>
      </c>
      <c r="H107" s="56" t="s">
        <v>14</v>
      </c>
      <c r="I107" s="56" t="s">
        <v>14</v>
      </c>
    </row>
    <row r="108" spans="1:9" x14ac:dyDescent="0.25">
      <c r="A108" s="111"/>
      <c r="B108" s="113"/>
      <c r="C108" s="56" t="s">
        <v>7</v>
      </c>
      <c r="D108" s="34" t="s">
        <v>7</v>
      </c>
      <c r="E108" s="9" t="s">
        <v>7</v>
      </c>
      <c r="F108" s="9" t="s">
        <v>7</v>
      </c>
      <c r="G108" s="9" t="s">
        <v>7</v>
      </c>
      <c r="H108" s="17" t="s">
        <v>8</v>
      </c>
      <c r="I108" s="62" t="s">
        <v>8</v>
      </c>
    </row>
    <row r="109" spans="1:9" x14ac:dyDescent="0.25">
      <c r="A109" s="111"/>
      <c r="B109" s="114"/>
      <c r="C109" s="9" t="s">
        <v>16</v>
      </c>
      <c r="D109" s="9"/>
      <c r="E109" s="9"/>
      <c r="F109" s="9"/>
      <c r="G109" s="45"/>
      <c r="H109" s="9" t="s">
        <v>7</v>
      </c>
      <c r="I109" s="9" t="s">
        <v>7</v>
      </c>
    </row>
    <row r="110" spans="1:9" x14ac:dyDescent="0.25">
      <c r="A110" s="111"/>
      <c r="B110" s="117" t="s">
        <v>12</v>
      </c>
      <c r="C110" s="18" t="s">
        <v>6</v>
      </c>
      <c r="D110" s="18" t="s">
        <v>16</v>
      </c>
      <c r="E110" s="27"/>
      <c r="F110" s="27"/>
      <c r="G110" s="48"/>
      <c r="H110" s="29"/>
      <c r="I110" s="20" t="s">
        <v>11</v>
      </c>
    </row>
    <row r="111" spans="1:9" x14ac:dyDescent="0.25">
      <c r="A111" s="111"/>
      <c r="B111" s="119"/>
      <c r="C111" s="18" t="s">
        <v>7</v>
      </c>
      <c r="D111" s="28"/>
      <c r="E111" s="27"/>
      <c r="F111" s="27"/>
      <c r="G111" s="48"/>
      <c r="H111" s="29"/>
      <c r="I111" s="20" t="s">
        <v>8</v>
      </c>
    </row>
    <row r="112" spans="1:9" x14ac:dyDescent="0.25">
      <c r="A112" s="111"/>
      <c r="B112" s="118"/>
      <c r="C112" s="28"/>
      <c r="D112" s="27"/>
      <c r="E112" s="27"/>
      <c r="F112" s="27"/>
      <c r="G112" s="48"/>
      <c r="H112" s="47"/>
      <c r="I112" s="19"/>
    </row>
    <row r="113" spans="1:9" x14ac:dyDescent="0.25">
      <c r="A113" s="111"/>
      <c r="B113" s="120" t="s">
        <v>15</v>
      </c>
      <c r="C113" s="19"/>
      <c r="D113" s="30"/>
      <c r="E113" s="27"/>
      <c r="F113" s="27"/>
      <c r="G113" s="98"/>
      <c r="H113" s="47"/>
      <c r="I113" s="19"/>
    </row>
    <row r="114" spans="1:9" x14ac:dyDescent="0.25">
      <c r="A114" s="111"/>
      <c r="B114" s="121"/>
      <c r="C114" s="19"/>
      <c r="D114" s="30"/>
      <c r="E114" s="27"/>
      <c r="F114" s="19"/>
      <c r="G114" s="49"/>
      <c r="H114" s="27"/>
      <c r="I114" s="33"/>
    </row>
    <row r="115" spans="1:9" x14ac:dyDescent="0.25">
      <c r="A115" s="88"/>
      <c r="B115" s="25" t="s">
        <v>17</v>
      </c>
      <c r="C115" s="19"/>
      <c r="D115" s="30"/>
      <c r="E115" s="27"/>
      <c r="F115" s="19"/>
      <c r="G115" s="49"/>
      <c r="H115" s="27"/>
      <c r="I115" s="33"/>
    </row>
    <row r="116" spans="1:9" x14ac:dyDescent="0.25">
      <c r="C116" s="15">
        <f t="shared" ref="C116:I116" si="4">COUNTA(C96:C100,C105:C109)</f>
        <v>9</v>
      </c>
      <c r="D116" s="15">
        <f>COUNTA(D96:D100,D105:D109)</f>
        <v>8</v>
      </c>
      <c r="E116" s="15">
        <f t="shared" si="4"/>
        <v>9</v>
      </c>
      <c r="F116" s="15">
        <f t="shared" si="4"/>
        <v>9</v>
      </c>
      <c r="G116" s="15">
        <f t="shared" si="4"/>
        <v>9</v>
      </c>
      <c r="H116" s="15">
        <f t="shared" si="4"/>
        <v>9</v>
      </c>
      <c r="I116" s="15">
        <f t="shared" si="4"/>
        <v>9</v>
      </c>
    </row>
    <row r="117" spans="1:9" ht="15.95" customHeight="1" x14ac:dyDescent="0.25">
      <c r="A117" s="111" t="s">
        <v>22</v>
      </c>
      <c r="B117" s="6" t="s">
        <v>3</v>
      </c>
      <c r="C117" s="6" t="s">
        <v>97</v>
      </c>
      <c r="D117" s="6" t="s">
        <v>98</v>
      </c>
      <c r="E117" s="6" t="s">
        <v>99</v>
      </c>
      <c r="F117" s="6" t="s">
        <v>100</v>
      </c>
      <c r="G117" s="6" t="s">
        <v>101</v>
      </c>
      <c r="H117" s="6" t="s">
        <v>102</v>
      </c>
      <c r="I117" s="6" t="s">
        <v>103</v>
      </c>
    </row>
    <row r="118" spans="1:9" x14ac:dyDescent="0.25">
      <c r="A118" s="111"/>
      <c r="B118" s="112" t="s">
        <v>5</v>
      </c>
      <c r="C118" s="9" t="s">
        <v>9</v>
      </c>
      <c r="D118" s="9" t="s">
        <v>9</v>
      </c>
      <c r="E118" s="9" t="s">
        <v>9</v>
      </c>
      <c r="F118" s="9" t="s">
        <v>9</v>
      </c>
      <c r="G118" s="45" t="s">
        <v>9</v>
      </c>
      <c r="H118" s="9" t="s">
        <v>9</v>
      </c>
      <c r="I118" s="56" t="s">
        <v>9</v>
      </c>
    </row>
    <row r="119" spans="1:9" x14ac:dyDescent="0.25">
      <c r="A119" s="111"/>
      <c r="B119" s="113"/>
      <c r="C119" s="9" t="s">
        <v>10</v>
      </c>
      <c r="D119" s="9" t="s">
        <v>8</v>
      </c>
      <c r="E119" s="9" t="s">
        <v>8</v>
      </c>
      <c r="F119" s="9" t="s">
        <v>8</v>
      </c>
      <c r="G119" s="45" t="s">
        <v>8</v>
      </c>
      <c r="H119" s="56" t="s">
        <v>7</v>
      </c>
      <c r="I119" s="56" t="s">
        <v>7</v>
      </c>
    </row>
    <row r="120" spans="1:9" x14ac:dyDescent="0.25">
      <c r="A120" s="111"/>
      <c r="B120" s="113"/>
      <c r="C120" s="9" t="s">
        <v>8</v>
      </c>
      <c r="D120" s="56" t="s">
        <v>7</v>
      </c>
      <c r="E120" s="56" t="s">
        <v>7</v>
      </c>
      <c r="F120" s="56" t="s">
        <v>7</v>
      </c>
      <c r="G120" s="56" t="s">
        <v>7</v>
      </c>
      <c r="H120" s="9" t="s">
        <v>10</v>
      </c>
      <c r="I120" s="9" t="s">
        <v>10</v>
      </c>
    </row>
    <row r="121" spans="1:9" x14ac:dyDescent="0.25">
      <c r="A121" s="111"/>
      <c r="B121" s="113"/>
      <c r="C121" s="9"/>
      <c r="D121" s="9" t="s">
        <v>10</v>
      </c>
      <c r="E121" s="56" t="s">
        <v>14</v>
      </c>
      <c r="F121" s="56" t="s">
        <v>10</v>
      </c>
      <c r="G121" s="9" t="s">
        <v>10</v>
      </c>
      <c r="H121" s="9"/>
      <c r="I121" s="9"/>
    </row>
    <row r="122" spans="1:9" x14ac:dyDescent="0.25">
      <c r="A122" s="111"/>
      <c r="B122" s="114"/>
      <c r="C122" s="9"/>
      <c r="D122" s="9"/>
      <c r="E122" s="9" t="s">
        <v>16</v>
      </c>
      <c r="F122" s="9" t="s">
        <v>16</v>
      </c>
      <c r="G122" s="45" t="s">
        <v>16</v>
      </c>
      <c r="H122" s="9" t="s">
        <v>16</v>
      </c>
      <c r="I122" s="9" t="s">
        <v>16</v>
      </c>
    </row>
    <row r="123" spans="1:9" x14ac:dyDescent="0.25">
      <c r="A123" s="111"/>
      <c r="B123" s="18" t="s">
        <v>12</v>
      </c>
      <c r="C123" s="19"/>
      <c r="D123" s="55"/>
      <c r="E123" s="20" t="s">
        <v>7</v>
      </c>
      <c r="F123" s="20" t="s">
        <v>10</v>
      </c>
      <c r="G123" s="46"/>
      <c r="H123" s="19"/>
      <c r="I123" s="20" t="s">
        <v>9</v>
      </c>
    </row>
    <row r="124" spans="1:9" x14ac:dyDescent="0.25">
      <c r="A124" s="111"/>
      <c r="B124" s="18"/>
      <c r="C124" s="19"/>
      <c r="D124" s="19"/>
      <c r="E124" s="19"/>
      <c r="F124" s="19"/>
      <c r="G124" s="47"/>
      <c r="H124" s="19"/>
      <c r="I124" s="19"/>
    </row>
    <row r="125" spans="1:9" x14ac:dyDescent="0.25">
      <c r="A125" s="111"/>
      <c r="B125" s="22" t="s">
        <v>15</v>
      </c>
      <c r="C125" s="19"/>
      <c r="D125" s="19"/>
      <c r="E125" s="23"/>
      <c r="F125" s="19"/>
      <c r="G125" s="47"/>
      <c r="H125" s="23"/>
      <c r="I125" s="19"/>
    </row>
    <row r="126" spans="1:9" x14ac:dyDescent="0.25">
      <c r="A126" s="111"/>
      <c r="B126" s="25" t="s">
        <v>17</v>
      </c>
      <c r="C126" s="19"/>
      <c r="D126" s="19"/>
      <c r="E126" s="23"/>
      <c r="F126" s="23"/>
      <c r="G126" s="46"/>
      <c r="H126" s="23"/>
      <c r="I126" s="19"/>
    </row>
    <row r="127" spans="1:9" x14ac:dyDescent="0.25">
      <c r="A127" s="111"/>
      <c r="B127" s="112" t="s">
        <v>18</v>
      </c>
      <c r="C127" s="9" t="s">
        <v>11</v>
      </c>
      <c r="D127" s="9" t="s">
        <v>11</v>
      </c>
      <c r="E127" s="9" t="s">
        <v>11</v>
      </c>
      <c r="F127" s="9" t="s">
        <v>11</v>
      </c>
      <c r="G127" s="45" t="s">
        <v>11</v>
      </c>
      <c r="H127" s="9" t="s">
        <v>11</v>
      </c>
      <c r="I127" s="90" t="s">
        <v>11</v>
      </c>
    </row>
    <row r="128" spans="1:9" x14ac:dyDescent="0.25">
      <c r="A128" s="111"/>
      <c r="B128" s="113"/>
      <c r="C128" s="56" t="s">
        <v>6</v>
      </c>
      <c r="D128" s="9" t="s">
        <v>6</v>
      </c>
      <c r="E128" s="9" t="s">
        <v>6</v>
      </c>
      <c r="F128" s="9" t="s">
        <v>6</v>
      </c>
      <c r="G128" s="9" t="s">
        <v>6</v>
      </c>
      <c r="H128" s="9" t="s">
        <v>6</v>
      </c>
      <c r="I128" s="9" t="s">
        <v>6</v>
      </c>
    </row>
    <row r="129" spans="1:15" x14ac:dyDescent="0.25">
      <c r="A129" s="111"/>
      <c r="B129" s="113"/>
      <c r="C129" s="56" t="s">
        <v>14</v>
      </c>
      <c r="D129" s="56" t="s">
        <v>14</v>
      </c>
      <c r="E129" s="9" t="s">
        <v>10</v>
      </c>
      <c r="F129" s="56" t="s">
        <v>14</v>
      </c>
      <c r="G129" s="56" t="s">
        <v>14</v>
      </c>
      <c r="H129" s="56" t="s">
        <v>14</v>
      </c>
      <c r="I129" s="56" t="s">
        <v>14</v>
      </c>
    </row>
    <row r="130" spans="1:15" x14ac:dyDescent="0.25">
      <c r="A130" s="111"/>
      <c r="B130" s="113"/>
      <c r="C130" s="9" t="s">
        <v>7</v>
      </c>
      <c r="D130" s="9" t="s">
        <v>7</v>
      </c>
      <c r="E130" s="9"/>
      <c r="F130" s="9" t="s">
        <v>7</v>
      </c>
      <c r="G130" s="9" t="s">
        <v>7</v>
      </c>
      <c r="H130" s="17" t="s">
        <v>8</v>
      </c>
      <c r="I130" s="62" t="s">
        <v>8</v>
      </c>
    </row>
    <row r="131" spans="1:15" x14ac:dyDescent="0.25">
      <c r="A131" s="111"/>
      <c r="B131" s="114"/>
      <c r="C131" s="9" t="s">
        <v>16</v>
      </c>
      <c r="D131" s="9"/>
      <c r="E131" s="9"/>
      <c r="F131" s="9"/>
      <c r="G131" s="45"/>
      <c r="H131" s="9" t="s">
        <v>7</v>
      </c>
      <c r="I131" s="9" t="s">
        <v>7</v>
      </c>
    </row>
    <row r="132" spans="1:15" x14ac:dyDescent="0.25">
      <c r="A132" s="111"/>
      <c r="B132" s="117" t="s">
        <v>12</v>
      </c>
      <c r="C132" s="18" t="s">
        <v>6</v>
      </c>
      <c r="D132" s="18" t="s">
        <v>16</v>
      </c>
      <c r="E132" s="27"/>
      <c r="F132" s="27"/>
      <c r="G132" s="48"/>
      <c r="H132" s="29"/>
      <c r="I132" s="20" t="s">
        <v>11</v>
      </c>
    </row>
    <row r="133" spans="1:15" x14ac:dyDescent="0.25">
      <c r="A133" s="111"/>
      <c r="B133" s="119"/>
      <c r="C133" s="28"/>
      <c r="D133" s="28"/>
      <c r="E133" s="27"/>
      <c r="F133" s="27"/>
      <c r="G133" s="48"/>
      <c r="H133" s="29"/>
      <c r="I133" s="20" t="s">
        <v>8</v>
      </c>
    </row>
    <row r="134" spans="1:15" x14ac:dyDescent="0.25">
      <c r="A134" s="111"/>
      <c r="B134" s="118"/>
      <c r="C134" s="28"/>
      <c r="D134" s="27"/>
      <c r="E134" s="27"/>
      <c r="F134" s="27"/>
      <c r="G134" s="48"/>
      <c r="H134" s="47"/>
      <c r="I134" s="19"/>
    </row>
    <row r="135" spans="1:15" x14ac:dyDescent="0.25">
      <c r="A135" s="111"/>
      <c r="B135" s="120" t="s">
        <v>15</v>
      </c>
      <c r="C135" s="19"/>
      <c r="D135" s="30"/>
      <c r="E135" s="27"/>
      <c r="F135" s="27"/>
      <c r="G135" s="98"/>
      <c r="H135" s="47"/>
      <c r="I135" s="19"/>
    </row>
    <row r="136" spans="1:15" x14ac:dyDescent="0.25">
      <c r="A136" s="111"/>
      <c r="B136" s="121"/>
      <c r="C136" s="19"/>
      <c r="D136" s="30"/>
      <c r="E136" s="27"/>
      <c r="F136" s="19"/>
      <c r="G136" s="49"/>
      <c r="H136" s="27"/>
      <c r="I136" s="33"/>
    </row>
    <row r="137" spans="1:15" x14ac:dyDescent="0.25">
      <c r="A137" s="88"/>
      <c r="B137" s="25" t="s">
        <v>17</v>
      </c>
      <c r="C137" s="19"/>
      <c r="D137" s="30"/>
      <c r="E137" s="27"/>
      <c r="F137" s="19"/>
      <c r="G137" s="49"/>
      <c r="H137" s="27"/>
      <c r="I137" s="33"/>
    </row>
    <row r="138" spans="1:15" x14ac:dyDescent="0.25">
      <c r="C138" s="15">
        <f t="shared" ref="C138" si="5">COUNTA(C118:C122,C127:C131)</f>
        <v>8</v>
      </c>
      <c r="D138" s="15">
        <f>COUNTA(D118:D122,D127:D131)</f>
        <v>8</v>
      </c>
      <c r="E138" s="15">
        <f t="shared" ref="E138:I138" si="6">COUNTA(E118:E122,E127:E131)</f>
        <v>8</v>
      </c>
      <c r="F138" s="15">
        <f t="shared" si="6"/>
        <v>9</v>
      </c>
      <c r="G138" s="15">
        <f t="shared" si="6"/>
        <v>9</v>
      </c>
      <c r="H138" s="15">
        <f t="shared" si="6"/>
        <v>9</v>
      </c>
      <c r="I138" s="15">
        <f t="shared" si="6"/>
        <v>9</v>
      </c>
    </row>
    <row r="141" spans="1:15" x14ac:dyDescent="0.25">
      <c r="D141" s="2"/>
      <c r="E141" s="2"/>
    </row>
    <row r="142" spans="1:15" x14ac:dyDescent="0.25">
      <c r="C142" s="122" t="s">
        <v>27</v>
      </c>
      <c r="D142" s="122"/>
      <c r="E142" s="122"/>
      <c r="F142" s="122"/>
      <c r="G142" s="122"/>
      <c r="I142" s="122" t="s">
        <v>28</v>
      </c>
      <c r="J142" s="122"/>
      <c r="K142" s="122"/>
      <c r="L142" s="122"/>
      <c r="M142" s="122"/>
    </row>
    <row r="143" spans="1:15" x14ac:dyDescent="0.25">
      <c r="D143" s="2" t="s">
        <v>29</v>
      </c>
      <c r="E143" s="2" t="s">
        <v>30</v>
      </c>
      <c r="F143" t="s">
        <v>31</v>
      </c>
      <c r="G143" t="s">
        <v>32</v>
      </c>
      <c r="I143" s="2" t="s">
        <v>29</v>
      </c>
      <c r="J143" s="2" t="s">
        <v>30</v>
      </c>
      <c r="K143" t="s">
        <v>31</v>
      </c>
      <c r="L143" t="s">
        <v>32</v>
      </c>
      <c r="M143" s="2"/>
      <c r="N143" s="2" t="s">
        <v>33</v>
      </c>
      <c r="O143" s="2" t="s">
        <v>34</v>
      </c>
    </row>
    <row r="144" spans="1:15" x14ac:dyDescent="0.25">
      <c r="B144" t="s">
        <v>4</v>
      </c>
      <c r="C144" s="38" t="s">
        <v>16</v>
      </c>
      <c r="D144" s="39">
        <f>COUNTIF($C$9:$I$13,"Mario")-COUNTIF($C$14:$I$19,"Mario")+COUNTIF($C$33:$I$37,"Mario")-COUNTIF($C$38:$I$42,"Mario")+COUNTIF($C$54:$E$58,"Mario")-COUNTIF($C$59:$E$63,"Mario")</f>
        <v>5</v>
      </c>
      <c r="E144" s="39">
        <f>COUNTIF($C$20:$I$24,"Mario")-COUNTIF($C$25:$I$30,"Mario")+COUNTIF($C$43:$I$47,"Mario")-COUNTIF($C$48:$I$51,"Mario")+COUNTIF($C$64:$E$68,"Mario")-COUNTIF($C$69:$E$72,"Mario")</f>
        <v>5</v>
      </c>
      <c r="F144" s="39">
        <f>+COUNTIF($C$14:$I$19,"Mario")+COUNTIF($C$38:$I$42,"Mario")+COUNTIF($C$59:$E$63,"Mario")+COUNTIF($C$25:$I$30,"Mario")+COUNTIF($C$48:$I$51,"Mario")+COUNTIF($C$69:$E$72,"Mario")</f>
        <v>5</v>
      </c>
      <c r="G144" s="40">
        <f>+F144+E144+D144</f>
        <v>15</v>
      </c>
      <c r="H144" s="38" t="s">
        <v>16</v>
      </c>
      <c r="I144" s="39">
        <f>COUNTIF($C$54:$I$58,"Mario")-COUNTIF($C$59:$I$63,"Mario")+COUNTIF($C$75:$I$79,"Mario")-COUNTIF($C$80:$I$83,"Mario")+COUNTIF($C$96:$D$100,"Mario")-COUNTIF($C$101:$D$104,"Mario")</f>
        <v>5</v>
      </c>
      <c r="J144" s="39">
        <f>COUNTIF($C$64:$I$68,"Mario")-COUNTIF($C$69:$I$72,"Mario")+COUNTIF($C$84:$I$88,"Mario")-COUNTIF($C$89:$I$93,"Mario")+COUNTIF($C$105:$D$109,"Mario")-COUNTIF($C$110:$D$115,"Mario")</f>
        <v>8</v>
      </c>
      <c r="K144" s="39">
        <f>COUNTIF($C$59:$I$63,"Mario")+COUNTIF($C$80:$I$83,"Mario")+COUNTIF($C$101:$D$104,"Mario")+COUNTIF($C$69:$I$72,"Mario")+COUNTIF($C$89:$I$93,"Mario")+COUNTIF($C$110:$D$115,"Mario")</f>
        <v>3</v>
      </c>
      <c r="L144" s="40">
        <f t="shared" ref="L144:L151" si="7">+K144+J144+I144</f>
        <v>16</v>
      </c>
      <c r="N144">
        <v>3</v>
      </c>
    </row>
    <row r="145" spans="3:16" x14ac:dyDescent="0.25">
      <c r="C145" t="s">
        <v>7</v>
      </c>
      <c r="D145" s="39">
        <f>COUNTIF($C$9:$I$13,"Edwin")-COUNTIF($C$14:$I$19,"Edwin")+COUNTIF($C$33:$I$37,"Edwin")-COUNTIF($C$38:$I$42,"Edwin")+COUNTIF($C$54:$E$58,"Edwin")-COUNTIF($C$59:$E$63,"Edwin")</f>
        <v>10</v>
      </c>
      <c r="E145" s="39">
        <f>COUNTIF($C$20:$I$24,"Edwin")-COUNTIF($C$25:$I$30,"Edwin")+COUNTIF($C$43:$I$47,"Edwin")-COUNTIF($C$48:$I$51,"Edwin")+COUNTIF($C$64:$E$68,"Edwin")-COUNTIF($C$69:$E$72,"Edwin")</f>
        <v>3</v>
      </c>
      <c r="F145" s="39">
        <f>+COUNTIF($C$14:$I$19,"Edwin")+COUNTIF($C$38:$I$42,"Edwin")+COUNTIF($C$59:$E$63,"Edwin")+COUNTIF($C$25:$I$30,"Edwin")+COUNTIF($C$48:$I$51,"Edwin")+COUNTIF($C$69:$E$72,"Edwin")</f>
        <v>1</v>
      </c>
      <c r="G145" s="40">
        <f>+F145+E145+D145</f>
        <v>14</v>
      </c>
      <c r="H145" t="s">
        <v>7</v>
      </c>
      <c r="I145" s="39">
        <f>COUNTIF($C$54:$I$58,"Edwin")-COUNTIF($C$59:$I$63,"Edwin")+COUNTIF($C$75:$I$79,"Edwin")-COUNTIF($C$80:$I$83,"Edwin")+COUNTIF($C$96:$D$100,"Edwin")-COUNTIF($C$101:$D$104,"Edwin")</f>
        <v>5</v>
      </c>
      <c r="J145" s="39">
        <f>COUNTIF($C$64:$I$68,"Edwin")-COUNTIF($C$69:$I$72,"Edwin")+COUNTIF($C$84:$I$88,"Edwin")-COUNTIF($C$89:$I$93,"Edwin")+COUNTIF($C$105:$D$109,"Edwin")-COUNTIF($C$110:$D$115,"Edwin")</f>
        <v>2</v>
      </c>
      <c r="K145" s="39">
        <f>COUNTIF($C$59:$I$63,"Edwin")+COUNTIF($C$80:$I$83,"Edwin")+COUNTIF($C$101:$D$104,"Edwin")+COUNTIF($C$69:$I$72,"Edwin")+COUNTIF($C$89:$I$93,"Edwin")+COUNTIF($C$110:$D$115,"Edwin")</f>
        <v>1</v>
      </c>
      <c r="L145" s="41">
        <f t="shared" si="7"/>
        <v>8</v>
      </c>
      <c r="N145">
        <v>3</v>
      </c>
    </row>
    <row r="146" spans="3:16" x14ac:dyDescent="0.25">
      <c r="C146" s="38" t="s">
        <v>10</v>
      </c>
      <c r="D146" s="39">
        <f>COUNTIF($C$9:$I$13,"Rene")-COUNTIF($C$14:$I$19,"Rene")+COUNTIF($C$33:$I$37,"Rene")-COUNTIF($C$38:$I$42,"Rene")+COUNTIF($C$54:$E$58,"Rene")-COUNTIF($C$59:$E$63,"Rene")</f>
        <v>7</v>
      </c>
      <c r="E146" s="39">
        <f>COUNTIF($C$20:$I$24,"Rene")-COUNTIF($C$25:$I$30,"Rene")+COUNTIF($C$43:$I$47,"Rene")-COUNTIF($C$48:$I$51,"Rene")+COUNTIF($C$64:$E$68,"Rene")-COUNTIF($C$69:$E$72,"Rene")</f>
        <v>7</v>
      </c>
      <c r="F146" s="39">
        <f>+COUNTIF($C$14:$I$19,"Rene")+COUNTIF($C$38:$I$42,"Rene")+COUNTIF($C$59:$E$63,"Rene")+COUNTIF($C$25:$I$30,"Rene")+COUNTIF($C$48:$I$51,"Rene")+COUNTIF($C$69:$E$72,"Rene")</f>
        <v>1</v>
      </c>
      <c r="G146" s="40">
        <f>+F146+E146+D146</f>
        <v>15</v>
      </c>
      <c r="H146" s="38" t="s">
        <v>10</v>
      </c>
      <c r="I146" s="39">
        <f>COUNTIF($C$54:$I$58,"Rene")-COUNTIF($C$59:$I$63,"Rene")+COUNTIF($C$75:$I$79,"Rene")-COUNTIF($C$80:$I$83,"Rene")+COUNTIF($C$96:$D$100,"Rene")-COUNTIF($C$101:$D$104,"Rene")</f>
        <v>11</v>
      </c>
      <c r="J146" s="39">
        <f>COUNTIF($C$64:$I$68,"Rene")-COUNTIF($C$69:$I$72,"Rene")+COUNTIF($C$84:$I$88,"Rene")-COUNTIF($C$89:$I$93,"Rene")+COUNTIF($C$105:$D$109,"Rene")-COUNTIF($C$110:$D$115,"Rene")</f>
        <v>2</v>
      </c>
      <c r="K146" s="39">
        <f>COUNTIF($C$59:$I$63,"Rene")+COUNTIF($C$80:$I$83,"Rene")+COUNTIF($C$101:$D$104,"Rene")+COUNTIF($C$69:$I$72,"Rene")+COUNTIF($C$89:$I$93,"Rene")+COUNTIF($C$110:$D$115,"Rene")</f>
        <v>3</v>
      </c>
      <c r="L146" s="40">
        <f t="shared" si="7"/>
        <v>16</v>
      </c>
      <c r="N146">
        <v>2</v>
      </c>
      <c r="O146">
        <v>1</v>
      </c>
      <c r="P146" t="s">
        <v>35</v>
      </c>
    </row>
    <row r="147" spans="3:16" x14ac:dyDescent="0.25">
      <c r="C147" t="s">
        <v>9</v>
      </c>
      <c r="D147" s="39">
        <f>COUNTIF($C$9:$I$13,"Luis D")-COUNTIF($C$14:$I$19,"Luis D")+COUNTIF($C$33:$I$37,"Luis D")-COUNTIF($C$38:$I$42,"Luis D")+COUNTIF($C$54:$E$58,"Luis D")-COUNTIF($C$59:$E$63,"Luis D")</f>
        <v>13</v>
      </c>
      <c r="E147" s="39">
        <f>COUNTIF($C$20:$I$24,"Luis D")-COUNTIF($C$25:$I$30,"Luis D")+COUNTIF($C$43:$I$47,"Luis D")-COUNTIF($C$48:$I$51,"Luis D")+COUNTIF($C$64:$E$68,"Luis D")-COUNTIF($C$69:$E$72,"Luis D")</f>
        <v>0</v>
      </c>
      <c r="F147" s="39">
        <f>+COUNTIF($C$14:$I$19,"Luis D")+COUNTIF($C$38:$I$42,"Luis D")+COUNTIF($C$59:$E$63,"Luis D")+COUNTIF($C$25:$I$30,"Luis D")+COUNTIF($C$48:$I$51,"Luis D")+COUNTIF($C$69:$E$72,"Luis D")</f>
        <v>2</v>
      </c>
      <c r="G147" s="40">
        <f>+F147+E147+D147</f>
        <v>15</v>
      </c>
      <c r="H147" t="s">
        <v>9</v>
      </c>
      <c r="I147" s="39">
        <f>COUNTIF($C$54:$I$58,"Luis D")-COUNTIF($C$59:$I$63,"Luis D")+COUNTIF($C$75:$I$79,"Luis D")-COUNTIF($C$80:$I$83,"Luis D")+COUNTIF($C$96:$D$100,"Luis D")-COUNTIF($C$101:$D$104,"Luis D")</f>
        <v>14</v>
      </c>
      <c r="J147" s="39">
        <f>COUNTIF($C$64:$I$68,"Luis D")-COUNTIF($C$69:$I$72,"Luis D")+COUNTIF($C$84:$I$88,"Luis D")-COUNTIF($C$89:$I$93,"Luis D")+COUNTIF($C$105:$D$109,"Luis D")-COUNTIF($C$110:$D$115,"Luis D")</f>
        <v>0</v>
      </c>
      <c r="K147" s="39">
        <f>COUNTIF($C$59:$I$63,"Luis D")+COUNTIF($C$80:$I$83,"Luis D")+COUNTIF($C$101:$D$104,"Luis D")+COUNTIF($C$69:$I$72,"Luis D")+COUNTIF($C$89:$I$93,"Luis D")+COUNTIF($C$110:$D$115,"Luis D")</f>
        <v>2</v>
      </c>
      <c r="L147" s="41">
        <f t="shared" si="7"/>
        <v>16</v>
      </c>
      <c r="N147">
        <v>3</v>
      </c>
    </row>
    <row r="148" spans="3:16" x14ac:dyDescent="0.25">
      <c r="C148" s="38" t="s">
        <v>11</v>
      </c>
      <c r="D148" s="39">
        <f>COUNTIF($C$9:$I$13,"Julio")-COUNTIF($C$14:$I$19,"Julio")+COUNTIF($C$33:$I$37,"Julio")-COUNTIF($C$38:$I$42,"Julio")+COUNTIF($C$54:$E$58,"Julio")-COUNTIF($C$59:$E$63,"Julio")</f>
        <v>0</v>
      </c>
      <c r="E148" s="39">
        <f>COUNTIF($C$20:$I$24,"Julio")-COUNTIF($C$25:$I$30,"Julio")+COUNTIF($C$43:$I$47,"Julio")-COUNTIF($C$48:$I$51,"Julio")+COUNTIF($C$64:$E$68,"Julio")-COUNTIF($C$69:$E$72,"Julio")</f>
        <v>13</v>
      </c>
      <c r="F148" s="39">
        <f>+COUNTIF($C$14:$I$19,"Julio")+COUNTIF($C$38:$I$42,"Julio")+COUNTIF($C$59:$E$63,"Julio")+COUNTIF($C$25:$I$30,"Julio")+COUNTIF($C$48:$I$51,"Julio")+COUNTIF($C$69:$E$72,"Julio")</f>
        <v>2</v>
      </c>
      <c r="G148" s="40">
        <f t="shared" ref="G148:G149" si="8">+F148+E148+D148</f>
        <v>15</v>
      </c>
      <c r="H148" s="38" t="s">
        <v>11</v>
      </c>
      <c r="I148" s="39">
        <f>COUNTIF($C$54:$I$58,"Julio")-COUNTIF($C$59:$I$63,"Julio")+COUNTIF($C$75:$I$79,"Julio")-COUNTIF($C$80:$I$83,"Julio")+COUNTIF($C$96:$D$100,"Julio")-COUNTIF($C$101:$D$104,"Julio")</f>
        <v>0</v>
      </c>
      <c r="J148" s="39">
        <f>COUNTIF($C$64:$I$68,"Julio")-COUNTIF($C$69:$I$72,"Julio")+COUNTIF($C$84:$I$88,"Julio")-COUNTIF($C$89:$I$93,"Julio")+COUNTIF($C$105:$D$109,"Julio")-COUNTIF($C$110:$D$115,"Julio")</f>
        <v>14</v>
      </c>
      <c r="K148" s="39">
        <f>COUNTIF($C$59:$I$63,"Julio")+COUNTIF($C$80:$I$83,"Julio")+COUNTIF($C$101:$D$104,"Julio")+COUNTIF($C$69:$I$72,"Julio")+COUNTIF($C$89:$I$93,"Julio")+COUNTIF($C$110:$D$115,"Julio")</f>
        <v>2</v>
      </c>
      <c r="L148" s="40">
        <f>+K148+J148+I148</f>
        <v>16</v>
      </c>
      <c r="N148">
        <v>3</v>
      </c>
    </row>
    <row r="149" spans="3:16" x14ac:dyDescent="0.25">
      <c r="C149" t="s">
        <v>8</v>
      </c>
      <c r="D149" s="39">
        <f>COUNTIF($C$9:$I$13,"Joel")-COUNTIF($C$14:$I$19,"Joel")+COUNTIF($C$33:$I$37,"Joel")-COUNTIF($C$38:$I$42,"Joel")+COUNTIF($C$54:$E$58,"Joel")-COUNTIF($C$59:$E$63,"Joel")</f>
        <v>11</v>
      </c>
      <c r="E149" s="39">
        <f>COUNTIF($C$20:$I$24,"Joel")-COUNTIF($C$25:$I$30,"Joel")+COUNTIF($C$43:$I$47,"Joel")-COUNTIF($C$48:$I$51,"Joel")+COUNTIF($C$64:$E$68,"Joel")-COUNTIF($C$69:$E$72,"Joel")</f>
        <v>2</v>
      </c>
      <c r="F149" s="39">
        <f>+COUNTIF($C$14:$I$19,"Joel")+COUNTIF($C$38:$I$42,"Joel")+COUNTIF($C$59:$E$63,"Joel")+COUNTIF($C$25:$I$30,"Joel")+COUNTIF($C$48:$I$51,"Joel")+COUNTIF($C$69:$E$72,"Joel")</f>
        <v>3</v>
      </c>
      <c r="G149" s="40">
        <f t="shared" si="8"/>
        <v>16</v>
      </c>
      <c r="H149" t="s">
        <v>8</v>
      </c>
      <c r="I149" s="39">
        <f>COUNTIF($C$54:$I$58,"Joel")-COUNTIF($C$59:$I$63,"Joel")+COUNTIF($C$75:$I$79,"Joel")-COUNTIF($C$80:$I$83,"Joel")+COUNTIF($C$96:$D$100,"Joel")-COUNTIF($C$101:$D$104,"Joel")</f>
        <v>12</v>
      </c>
      <c r="J149" s="39">
        <f>COUNTIF($C$64:$I$68,"Joel")-COUNTIF($C$69:$I$72,"Joel")+COUNTIF($C$84:$I$88,"Joel")-COUNTIF($C$89:$I$93,"Joel")+COUNTIF($C$105:$D$109,"Joel")-COUNTIF($C$110:$D$115,"Joel")</f>
        <v>3</v>
      </c>
      <c r="K149" s="39">
        <f>COUNTIF($C$59:$I$63,"Joel")+COUNTIF($C$80:$I$83,"Joel")+COUNTIF($C$101:$D$104,"Joel")+COUNTIF($C$69:$I$72,"Joel")+COUNTIF($C$89:$I$93,"Joel")+COUNTIF($C$110:$D$115,"Joel")</f>
        <v>3</v>
      </c>
      <c r="L149" s="41">
        <f t="shared" si="7"/>
        <v>18</v>
      </c>
      <c r="N149">
        <v>3</v>
      </c>
    </row>
    <row r="150" spans="3:16" x14ac:dyDescent="0.25">
      <c r="C150" s="38" t="s">
        <v>6</v>
      </c>
      <c r="D150" s="39">
        <f>COUNTIF($C$9:$I$13,"Jose")-COUNTIF($C$14:$I$19,"Jose")+COUNTIF($C$33:$I$37,"Jose")-COUNTIF($C$38:$I$42,"Jose")+COUNTIF($C$54:$E$58,"Jose")-COUNTIF($C$59:$E$63,"Jose")</f>
        <v>3</v>
      </c>
      <c r="E150" s="39">
        <f>COUNTIF($C$20:$I$24,"Jose")-COUNTIF($C$25:$I$30,"Jose")+COUNTIF($C$43:$I$47,"Jose")-COUNTIF($C$48:$I$51,"Jose")+COUNTIF($C$64:$E$68,"Jose")-COUNTIF($C$69:$E$72,"Jose")</f>
        <v>8</v>
      </c>
      <c r="F150" s="39">
        <f>+COUNTIF($C$14:$I$19,"Jose")+COUNTIF($C$38:$I$42,"Jose")+COUNTIF($C$59:$E$63,"Jose")+COUNTIF($C$25:$I$30,"Jose")+COUNTIF($C$48:$I$51,"Jose")+COUNTIF($C$69:$E$72,"Jose")</f>
        <v>5</v>
      </c>
      <c r="G150" s="40">
        <f>+F150+E150+D150</f>
        <v>16</v>
      </c>
      <c r="H150" s="38" t="s">
        <v>6</v>
      </c>
      <c r="I150" s="39">
        <f>COUNTIF($C$54:$I$58,"Jose")-COUNTIF($C$59:$I$63,"Jose")+COUNTIF($C$75:$I$79,"Jose")-COUNTIF($C$80:$I$83,"Jose")+COUNTIF($C$96:$D$100,"Jose")-COUNTIF($C$101:$D$104,"Jose")</f>
        <v>5</v>
      </c>
      <c r="J150" s="39">
        <f>COUNTIF($C$64:$I$68,"Jose")-COUNTIF($C$69:$I$72,"Jose")+COUNTIF($C$84:$I$88,"Jose")-COUNTIF($C$89:$I$93,"Jose")+COUNTIF($C$105:$D$109,"Jose")-COUNTIF($C$110:$D$115,"Jose")</f>
        <v>13</v>
      </c>
      <c r="K150" s="39">
        <f>COUNTIF($C$59:$I$63,"Jose")+COUNTIF($C$80:$I$83,"Jose")+COUNTIF($C$101:$D$104,"Jose")+COUNTIF($C$69:$I$72,"Jose")+COUNTIF($C$89:$I$93,"Jose")+COUNTIF($C$110:$D$115,"Jose")</f>
        <v>3</v>
      </c>
      <c r="L150" s="40">
        <f t="shared" si="7"/>
        <v>21</v>
      </c>
      <c r="N150">
        <v>3</v>
      </c>
    </row>
    <row r="151" spans="3:16" x14ac:dyDescent="0.25">
      <c r="C151" t="s">
        <v>14</v>
      </c>
      <c r="D151" s="39">
        <f>COUNTIF($C$9:$I$13,"Lester")-COUNTIF($C$14:$I$19,"Lester")+COUNTIF($C$33:$I$37,"Lester")-COUNTIF($C$38:$I$42,"Lester")+COUNTIF($C$54:$E$58,"Lester")-COUNTIF($C$59:$E$63,"Lester")</f>
        <v>3</v>
      </c>
      <c r="E151" s="39">
        <f>COUNTIF($C$20:$I$24,"Lester")-COUNTIF($C$25:$I$30,"Lester")+COUNTIF($C$43:$I$47,"Lester")-COUNTIF($C$48:$I$51,"Lester")+COUNTIF($C$64:$E$68,"Lester")-COUNTIF($C$69:$E$72,"Lester")</f>
        <v>8</v>
      </c>
      <c r="F151" s="39">
        <f>+COUNTIF($C$14:$I$19,"Lester")+COUNTIF($C$38:$I$42,"Lester")+COUNTIF($C$59:$E$63,"Lester")+COUNTIF($C$25:$I$30,"Lester")+COUNTIF($C$48:$I$51,"Lester")+COUNTIF($C$69:$E$72,"Lester")</f>
        <v>4</v>
      </c>
      <c r="G151" s="40">
        <f>+F151+E151+D151</f>
        <v>15</v>
      </c>
      <c r="H151" t="s">
        <v>14</v>
      </c>
      <c r="I151" s="39">
        <f>COUNTIF($C$54:$I$58,"Lester")-COUNTIF($C$59:$I$63,"Lester")+COUNTIF($C$75:$I$79,"Lester")-COUNTIF($C$80:$I$83,"Lester")+COUNTIF($C$96:$D$100,"Lester")-COUNTIF($C$101:$D$104,"Lester")</f>
        <v>0</v>
      </c>
      <c r="J151" s="39">
        <f>COUNTIF($C$64:$I$68,"Lester")-COUNTIF($C$69:$I$72,"Lester")+COUNTIF($C$84:$I$88,"Lester")-COUNTIF($C$89:$I$93,"Lester")+COUNTIF($C$105:$D$109,"Lester")-COUNTIF($C$110:$D$115,"Lester")</f>
        <v>13</v>
      </c>
      <c r="K151" s="39">
        <f>COUNTIF($C$59:$I$63,"Lester")+COUNTIF($C$80:$I$83,"Lester")+COUNTIF($C$101:$D$104,"Lester")+COUNTIF($C$69:$I$72,"Lester")+COUNTIF($C$89:$I$93,"Lester")+COUNTIF($C$110:$D$115,"Lester")</f>
        <v>3</v>
      </c>
      <c r="L151" s="41">
        <f t="shared" si="7"/>
        <v>16</v>
      </c>
    </row>
    <row r="152" spans="3:16" x14ac:dyDescent="0.25">
      <c r="D152" s="2">
        <f>SUM(D144:D151)</f>
        <v>52</v>
      </c>
      <c r="E152" s="2">
        <f t="shared" ref="E152:G152" si="9">SUM(E144:E151)</f>
        <v>46</v>
      </c>
      <c r="F152" s="2">
        <f t="shared" si="9"/>
        <v>23</v>
      </c>
      <c r="G152" s="2">
        <f t="shared" si="9"/>
        <v>121</v>
      </c>
      <c r="I152" s="2">
        <f t="shared" ref="I152:L152" si="10">SUM(I144:I151)</f>
        <v>52</v>
      </c>
      <c r="J152" s="2">
        <f>SUM(J144:J151)</f>
        <v>55</v>
      </c>
      <c r="K152" s="2">
        <f t="shared" si="10"/>
        <v>20</v>
      </c>
      <c r="L152" s="2">
        <f t="shared" si="10"/>
        <v>127</v>
      </c>
    </row>
    <row r="157" spans="3:16" x14ac:dyDescent="0.25">
      <c r="C157" t="s">
        <v>36</v>
      </c>
      <c r="E157">
        <f>+F152+K152</f>
        <v>43</v>
      </c>
    </row>
    <row r="159" spans="3:16" x14ac:dyDescent="0.25">
      <c r="C159" t="s">
        <v>37</v>
      </c>
      <c r="E159">
        <f>7*28</f>
        <v>196</v>
      </c>
    </row>
  </sheetData>
  <mergeCells count="33">
    <mergeCell ref="B2:I2"/>
    <mergeCell ref="B3:I3"/>
    <mergeCell ref="A8:A30"/>
    <mergeCell ref="B9:B13"/>
    <mergeCell ref="B20:B24"/>
    <mergeCell ref="B25:B27"/>
    <mergeCell ref="A95:A114"/>
    <mergeCell ref="A32:A51"/>
    <mergeCell ref="B33:B37"/>
    <mergeCell ref="B40:B41"/>
    <mergeCell ref="B43:B47"/>
    <mergeCell ref="B48:B49"/>
    <mergeCell ref="A53:A72"/>
    <mergeCell ref="B54:B58"/>
    <mergeCell ref="B61:B62"/>
    <mergeCell ref="B64:B68"/>
    <mergeCell ref="B69:B70"/>
    <mergeCell ref="A117:A136"/>
    <mergeCell ref="C142:G142"/>
    <mergeCell ref="I142:M142"/>
    <mergeCell ref="A74:A93"/>
    <mergeCell ref="B75:B79"/>
    <mergeCell ref="B84:B88"/>
    <mergeCell ref="B89:B90"/>
    <mergeCell ref="B91:B92"/>
    <mergeCell ref="B96:B100"/>
    <mergeCell ref="B105:B109"/>
    <mergeCell ref="B110:B112"/>
    <mergeCell ref="B113:B114"/>
    <mergeCell ref="B118:B122"/>
    <mergeCell ref="B127:B131"/>
    <mergeCell ref="B132:B134"/>
    <mergeCell ref="B135:B136"/>
  </mergeCells>
  <pageMargins left="0.7" right="0.7" top="0.75" bottom="0.75" header="0.3" footer="0.3"/>
  <pageSetup paperSize="9" scale="2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9928-DC8B-1D4C-9E4F-94D93CDBF8B6}">
  <sheetPr>
    <pageSetUpPr fitToPage="1"/>
  </sheetPr>
  <dimension ref="A2:T164"/>
  <sheetViews>
    <sheetView showGridLines="0" topLeftCell="A119" zoomScale="90" zoomScaleNormal="90" workbookViewId="0">
      <selection activeCell="H136" sqref="H136"/>
    </sheetView>
  </sheetViews>
  <sheetFormatPr baseColWidth="10" defaultColWidth="9.125" defaultRowHeight="15.75" outlineLevelCol="1" x14ac:dyDescent="0.25"/>
  <cols>
    <col min="2" max="2" width="14.625" customWidth="1"/>
    <col min="3" max="3" width="12.625" customWidth="1"/>
    <col min="4" max="4" width="16.375" customWidth="1" outlineLevel="1"/>
    <col min="5" max="5" width="15.5" customWidth="1" outlineLevel="1"/>
    <col min="6" max="6" width="16.125" customWidth="1" outlineLevel="1"/>
    <col min="7" max="7" width="15.5" customWidth="1" outlineLevel="1"/>
    <col min="8" max="8" width="13.875" customWidth="1" outlineLevel="1"/>
    <col min="9" max="9" width="15.5" bestFit="1" customWidth="1"/>
    <col min="10" max="10" width="22.5" customWidth="1"/>
    <col min="11" max="11" width="16.875" customWidth="1"/>
    <col min="12" max="12" width="11.125" customWidth="1"/>
    <col min="13" max="13" width="10.125" bestFit="1" customWidth="1"/>
    <col min="14" max="15" width="17.375" customWidth="1"/>
    <col min="16" max="16" width="10" customWidth="1"/>
    <col min="17" max="17" width="12.625" customWidth="1"/>
    <col min="18" max="18" width="8.125" bestFit="1" customWidth="1"/>
    <col min="19" max="19" width="10.5" bestFit="1" customWidth="1"/>
    <col min="21" max="24" width="6.5" customWidth="1"/>
  </cols>
  <sheetData>
    <row r="2" spans="1:18" ht="21" customHeight="1" x14ac:dyDescent="0.35">
      <c r="B2" s="102" t="s">
        <v>0</v>
      </c>
      <c r="C2" s="102"/>
      <c r="D2" s="102"/>
      <c r="E2" s="102"/>
      <c r="F2" s="102"/>
      <c r="G2" s="102"/>
      <c r="H2" s="102"/>
      <c r="I2" s="102"/>
      <c r="K2" s="1"/>
    </row>
    <row r="3" spans="1:18" ht="18.75" customHeight="1" x14ac:dyDescent="0.3">
      <c r="B3" s="103" t="s">
        <v>131</v>
      </c>
      <c r="C3" s="103"/>
      <c r="D3" s="103"/>
      <c r="E3" s="103"/>
      <c r="F3" s="103"/>
      <c r="G3" s="103"/>
      <c r="H3" s="103"/>
      <c r="I3" s="103"/>
      <c r="K3" s="1"/>
    </row>
    <row r="4" spans="1:18" x14ac:dyDescent="0.25">
      <c r="O4" s="2"/>
    </row>
    <row r="5" spans="1:18" ht="18.75" x14ac:dyDescent="0.3">
      <c r="B5" s="3" t="s">
        <v>1</v>
      </c>
      <c r="N5" t="s">
        <v>39</v>
      </c>
    </row>
    <row r="6" spans="1:18" ht="18.75" hidden="1" customHeight="1" x14ac:dyDescent="0.3">
      <c r="B6" s="3"/>
    </row>
    <row r="7" spans="1:18" ht="15.75" hidden="1" customHeight="1" x14ac:dyDescent="0.25">
      <c r="L7" s="4"/>
      <c r="N7" s="5" t="s">
        <v>40</v>
      </c>
      <c r="O7" s="5" t="s">
        <v>41</v>
      </c>
      <c r="P7" s="4" t="s">
        <v>42</v>
      </c>
      <c r="Q7" t="s">
        <v>43</v>
      </c>
      <c r="R7" s="42">
        <v>46143</v>
      </c>
    </row>
    <row r="8" spans="1:18" ht="15.75" hidden="1" customHeight="1" x14ac:dyDescent="0.25">
      <c r="A8" s="104" t="s">
        <v>2</v>
      </c>
      <c r="B8" s="6" t="s">
        <v>3</v>
      </c>
      <c r="C8" s="6" t="s">
        <v>127</v>
      </c>
      <c r="D8" s="6" t="s">
        <v>128</v>
      </c>
      <c r="E8" s="6" t="s">
        <v>23</v>
      </c>
      <c r="F8" s="43" t="s">
        <v>24</v>
      </c>
      <c r="G8" s="43" t="s">
        <v>25</v>
      </c>
      <c r="H8" s="43" t="s">
        <v>44</v>
      </c>
      <c r="I8" s="6" t="s">
        <v>26</v>
      </c>
      <c r="L8" s="4"/>
      <c r="M8" s="7" t="s">
        <v>4</v>
      </c>
      <c r="N8" s="8"/>
      <c r="O8" s="8"/>
      <c r="P8" s="4"/>
      <c r="Q8" s="4"/>
    </row>
    <row r="9" spans="1:18" ht="15.75" hidden="1" customHeight="1" x14ac:dyDescent="0.25">
      <c r="A9" s="104"/>
      <c r="B9" s="105" t="s">
        <v>5</v>
      </c>
      <c r="C9" s="9"/>
      <c r="D9" s="9"/>
      <c r="E9" s="9" t="s">
        <v>6</v>
      </c>
      <c r="F9" s="9" t="s">
        <v>6</v>
      </c>
      <c r="G9" s="10" t="s">
        <v>6</v>
      </c>
      <c r="H9" s="10" t="s">
        <v>6</v>
      </c>
      <c r="I9" s="10" t="s">
        <v>6</v>
      </c>
      <c r="K9" s="11"/>
      <c r="L9" s="11"/>
      <c r="M9" t="s">
        <v>7</v>
      </c>
      <c r="N9" s="12">
        <v>46101</v>
      </c>
      <c r="O9" s="12"/>
      <c r="P9" s="4"/>
      <c r="Q9" s="4"/>
    </row>
    <row r="10" spans="1:18" ht="15.75" hidden="1" customHeight="1" x14ac:dyDescent="0.25">
      <c r="A10" s="104"/>
      <c r="B10" s="106"/>
      <c r="C10" s="9"/>
      <c r="D10" s="10"/>
      <c r="E10" s="10" t="s">
        <v>7</v>
      </c>
      <c r="F10" s="10" t="s">
        <v>7</v>
      </c>
      <c r="G10" s="10" t="s">
        <v>7</v>
      </c>
      <c r="H10" s="9" t="s">
        <v>9</v>
      </c>
      <c r="I10" s="9" t="s">
        <v>9</v>
      </c>
      <c r="K10" s="11"/>
      <c r="L10" s="11"/>
      <c r="M10" s="7" t="s">
        <v>10</v>
      </c>
      <c r="N10" s="13">
        <v>46095</v>
      </c>
      <c r="O10" s="13">
        <v>46122</v>
      </c>
      <c r="P10" s="44">
        <v>46143</v>
      </c>
      <c r="Q10" s="4"/>
    </row>
    <row r="11" spans="1:18" ht="15.75" hidden="1" customHeight="1" x14ac:dyDescent="0.25">
      <c r="A11" s="104"/>
      <c r="B11" s="106"/>
      <c r="C11" s="10"/>
      <c r="D11" s="10"/>
      <c r="E11" s="9" t="s">
        <v>9</v>
      </c>
      <c r="F11" s="9" t="s">
        <v>9</v>
      </c>
      <c r="G11" s="9" t="s">
        <v>9</v>
      </c>
      <c r="H11" s="9" t="s">
        <v>8</v>
      </c>
      <c r="I11" s="9" t="s">
        <v>8</v>
      </c>
      <c r="K11" s="11"/>
      <c r="L11" s="11"/>
      <c r="M11" t="s">
        <v>9</v>
      </c>
      <c r="N11" s="14">
        <v>46094</v>
      </c>
      <c r="O11" s="14">
        <v>46123</v>
      </c>
      <c r="P11" s="44">
        <v>46137</v>
      </c>
      <c r="Q11" s="4"/>
    </row>
    <row r="12" spans="1:18" ht="15.75" hidden="1" customHeight="1" x14ac:dyDescent="0.25">
      <c r="A12" s="104"/>
      <c r="B12" s="106"/>
      <c r="C12" s="9"/>
      <c r="D12" s="9"/>
      <c r="E12" s="10" t="s">
        <v>11</v>
      </c>
      <c r="F12" s="10" t="s">
        <v>8</v>
      </c>
      <c r="G12" s="10" t="s">
        <v>8</v>
      </c>
      <c r="H12" s="9"/>
      <c r="I12" s="9"/>
      <c r="K12" s="11"/>
      <c r="L12" s="11"/>
      <c r="M12" s="7" t="s">
        <v>11</v>
      </c>
      <c r="N12" s="13">
        <v>46102</v>
      </c>
      <c r="O12" s="13">
        <v>46136</v>
      </c>
      <c r="P12" s="4"/>
      <c r="Q12" s="4"/>
    </row>
    <row r="13" spans="1:18" ht="15.75" hidden="1" customHeight="1" x14ac:dyDescent="0.25">
      <c r="A13" s="104"/>
      <c r="B13" s="107"/>
      <c r="C13" s="9"/>
      <c r="D13" s="9"/>
      <c r="E13" s="9" t="s">
        <v>14</v>
      </c>
      <c r="F13" s="9" t="s">
        <v>14</v>
      </c>
      <c r="G13" s="9" t="s">
        <v>14</v>
      </c>
      <c r="H13" s="9"/>
      <c r="I13" s="9"/>
      <c r="K13" s="11"/>
      <c r="L13" s="11"/>
      <c r="M13" t="s">
        <v>8</v>
      </c>
      <c r="N13" s="14">
        <v>46108</v>
      </c>
      <c r="O13" s="14">
        <v>46129</v>
      </c>
      <c r="P13" s="44">
        <v>46115</v>
      </c>
      <c r="Q13" s="4"/>
    </row>
    <row r="14" spans="1:18" ht="15.75" hidden="1" customHeight="1" x14ac:dyDescent="0.25">
      <c r="A14" s="104"/>
      <c r="B14" s="18" t="s">
        <v>12</v>
      </c>
      <c r="C14" s="19"/>
      <c r="D14" s="20"/>
      <c r="E14" s="20" t="s">
        <v>11</v>
      </c>
      <c r="F14" s="20" t="s">
        <v>8</v>
      </c>
      <c r="G14" s="21"/>
      <c r="H14" s="19"/>
      <c r="I14" s="20" t="s">
        <v>6</v>
      </c>
      <c r="M14" s="7" t="s">
        <v>13</v>
      </c>
      <c r="N14" s="13">
        <v>46084</v>
      </c>
      <c r="O14" s="13">
        <v>46115</v>
      </c>
      <c r="P14" s="44">
        <v>46130</v>
      </c>
      <c r="Q14" s="44">
        <v>46116</v>
      </c>
    </row>
    <row r="15" spans="1:18" ht="15.75" hidden="1" customHeight="1" x14ac:dyDescent="0.25">
      <c r="A15" s="104"/>
      <c r="B15" s="18"/>
      <c r="C15" s="19"/>
      <c r="D15" s="19"/>
      <c r="E15" s="19"/>
      <c r="F15" s="19"/>
      <c r="G15" s="19"/>
      <c r="H15" s="19"/>
      <c r="I15" s="19"/>
      <c r="M15" s="7"/>
      <c r="N15" s="13"/>
      <c r="O15" s="13"/>
      <c r="P15" s="4"/>
      <c r="Q15" s="4"/>
    </row>
    <row r="16" spans="1:18" ht="15.75" hidden="1" customHeight="1" x14ac:dyDescent="0.25">
      <c r="A16" s="104"/>
      <c r="B16" s="18"/>
      <c r="C16" s="19"/>
      <c r="D16" s="19"/>
      <c r="E16" s="23"/>
      <c r="F16" s="19"/>
      <c r="I16" s="19"/>
      <c r="M16" t="s">
        <v>14</v>
      </c>
      <c r="N16" s="12">
        <v>46109</v>
      </c>
      <c r="O16" s="12">
        <v>46110</v>
      </c>
      <c r="P16" s="44">
        <v>46116</v>
      </c>
      <c r="Q16" s="4"/>
    </row>
    <row r="17" spans="1:20" ht="15.75" hidden="1" customHeight="1" x14ac:dyDescent="0.25">
      <c r="A17" s="104"/>
      <c r="B17" s="22" t="s">
        <v>15</v>
      </c>
      <c r="C17" s="19"/>
      <c r="D17" s="19"/>
      <c r="E17" s="23"/>
      <c r="F17" s="23"/>
      <c r="G17" s="22" t="s">
        <v>6</v>
      </c>
      <c r="H17" s="22" t="s">
        <v>6</v>
      </c>
      <c r="I17" s="19"/>
      <c r="M17" s="7" t="s">
        <v>16</v>
      </c>
      <c r="N17" s="24">
        <v>46088</v>
      </c>
      <c r="O17" s="24">
        <v>46116</v>
      </c>
      <c r="P17" s="44">
        <v>46144</v>
      </c>
      <c r="Q17" s="44">
        <v>46115</v>
      </c>
    </row>
    <row r="18" spans="1:20" ht="15.75" hidden="1" customHeight="1" x14ac:dyDescent="0.25">
      <c r="A18" s="104"/>
      <c r="B18" s="22"/>
      <c r="C18" s="9"/>
      <c r="D18" s="9"/>
      <c r="E18" s="9"/>
      <c r="F18" s="9"/>
      <c r="G18" s="22" t="s">
        <v>8</v>
      </c>
      <c r="H18" s="23"/>
      <c r="I18" s="91"/>
      <c r="M18" s="7"/>
      <c r="N18" s="24"/>
      <c r="O18" s="24"/>
      <c r="P18" s="4"/>
      <c r="Q18" s="4"/>
    </row>
    <row r="19" spans="1:20" ht="15.75" hidden="1" customHeight="1" x14ac:dyDescent="0.25">
      <c r="A19" s="104"/>
      <c r="B19" s="25" t="s">
        <v>17</v>
      </c>
      <c r="C19" s="10"/>
      <c r="D19" s="9"/>
      <c r="E19" s="9"/>
      <c r="F19" s="9"/>
      <c r="G19" s="9"/>
      <c r="H19" s="9"/>
      <c r="I19" s="9"/>
      <c r="L19" s="11"/>
      <c r="N19" s="4"/>
      <c r="O19" s="4"/>
      <c r="P19" s="4"/>
      <c r="Q19" s="4"/>
    </row>
    <row r="20" spans="1:20" ht="15.75" hidden="1" customHeight="1" x14ac:dyDescent="0.25">
      <c r="A20" s="104"/>
      <c r="B20" s="105" t="s">
        <v>18</v>
      </c>
      <c r="C20" s="9"/>
      <c r="D20" s="9"/>
      <c r="E20" s="9" t="s">
        <v>16</v>
      </c>
      <c r="F20" s="9" t="s">
        <v>16</v>
      </c>
      <c r="G20" s="10" t="s">
        <v>16</v>
      </c>
      <c r="H20" s="10" t="s">
        <v>16</v>
      </c>
      <c r="I20" s="91" t="s">
        <v>16</v>
      </c>
      <c r="L20" s="11"/>
    </row>
    <row r="21" spans="1:20" ht="15.75" hidden="1" customHeight="1" x14ac:dyDescent="0.25">
      <c r="A21" s="104"/>
      <c r="B21" s="106"/>
      <c r="C21" s="9"/>
      <c r="D21" s="9"/>
      <c r="E21" s="9" t="s">
        <v>10</v>
      </c>
      <c r="F21" s="9" t="s">
        <v>10</v>
      </c>
      <c r="G21" s="9" t="s">
        <v>10</v>
      </c>
      <c r="H21" s="9" t="s">
        <v>10</v>
      </c>
      <c r="I21" s="9" t="s">
        <v>10</v>
      </c>
      <c r="L21" s="11"/>
    </row>
    <row r="22" spans="1:20" ht="15.75" hidden="1" customHeight="1" x14ac:dyDescent="0.25">
      <c r="A22" s="104"/>
      <c r="B22" s="106"/>
      <c r="C22" s="9"/>
      <c r="D22" s="9"/>
      <c r="E22" s="9" t="s">
        <v>8</v>
      </c>
      <c r="F22" s="9" t="s">
        <v>11</v>
      </c>
      <c r="G22" s="9" t="s">
        <v>11</v>
      </c>
      <c r="H22" s="9" t="s">
        <v>11</v>
      </c>
      <c r="I22" s="9" t="s">
        <v>11</v>
      </c>
      <c r="K22" s="26"/>
      <c r="L22" s="11"/>
    </row>
    <row r="23" spans="1:20" ht="15.75" hidden="1" customHeight="1" x14ac:dyDescent="0.25">
      <c r="A23" s="104"/>
      <c r="B23" s="106"/>
      <c r="C23" s="27"/>
      <c r="D23" s="27"/>
      <c r="E23" s="9"/>
      <c r="F23" s="9"/>
      <c r="G23" s="9"/>
      <c r="H23" s="92" t="s">
        <v>7</v>
      </c>
      <c r="I23" s="92" t="s">
        <v>7</v>
      </c>
      <c r="K23" s="26"/>
      <c r="L23" s="11"/>
    </row>
    <row r="24" spans="1:20" ht="15.75" hidden="1" customHeight="1" x14ac:dyDescent="0.25">
      <c r="A24" s="104"/>
      <c r="B24" s="107"/>
      <c r="C24" s="27"/>
      <c r="D24" s="27"/>
      <c r="E24" s="9"/>
      <c r="F24" s="9"/>
      <c r="G24" s="9"/>
      <c r="H24" s="10" t="s">
        <v>14</v>
      </c>
      <c r="I24" s="10" t="s">
        <v>14</v>
      </c>
      <c r="K24" s="26"/>
      <c r="L24" s="11"/>
    </row>
    <row r="25" spans="1:20" ht="15.75" hidden="1" customHeight="1" x14ac:dyDescent="0.25">
      <c r="A25" s="104"/>
      <c r="B25" s="108" t="s">
        <v>12</v>
      </c>
      <c r="C25" s="28"/>
      <c r="D25" s="27"/>
      <c r="E25" s="27"/>
      <c r="F25" s="27"/>
      <c r="G25" s="27"/>
      <c r="H25" s="29"/>
      <c r="I25" s="20" t="s">
        <v>16</v>
      </c>
      <c r="K25" s="26"/>
    </row>
    <row r="26" spans="1:20" ht="15.75" hidden="1" customHeight="1" x14ac:dyDescent="0.25">
      <c r="A26" s="104"/>
      <c r="B26" s="109"/>
      <c r="C26" s="28"/>
      <c r="D26" s="27"/>
      <c r="E26" s="27"/>
      <c r="F26" s="27"/>
      <c r="G26" s="27"/>
      <c r="H26" s="29"/>
      <c r="I26" s="93" t="s">
        <v>7</v>
      </c>
      <c r="K26" s="26"/>
    </row>
    <row r="27" spans="1:20" ht="15.75" hidden="1" customHeight="1" x14ac:dyDescent="0.25">
      <c r="A27" s="104"/>
      <c r="B27" s="110"/>
      <c r="C27" s="19"/>
      <c r="D27" s="30"/>
      <c r="E27" s="27"/>
      <c r="F27" s="27"/>
      <c r="G27" s="27"/>
      <c r="H27" s="29"/>
      <c r="I27" s="20" t="s">
        <v>14</v>
      </c>
      <c r="K27" s="26"/>
    </row>
    <row r="28" spans="1:20" ht="15.75" hidden="1" customHeight="1" x14ac:dyDescent="0.25">
      <c r="A28" s="104"/>
      <c r="B28" s="22" t="s">
        <v>15</v>
      </c>
      <c r="C28" s="19"/>
      <c r="D28" s="30"/>
      <c r="E28" s="27"/>
      <c r="F28" s="19"/>
      <c r="G28" s="22" t="s">
        <v>16</v>
      </c>
      <c r="H28" s="22" t="s">
        <v>16</v>
      </c>
      <c r="I28" s="33"/>
      <c r="K28" s="26"/>
    </row>
    <row r="29" spans="1:20" ht="15.75" hidden="1" customHeight="1" x14ac:dyDescent="0.25">
      <c r="A29" s="104"/>
      <c r="B29" s="22"/>
      <c r="C29" s="19"/>
      <c r="D29" s="30"/>
      <c r="E29" s="27"/>
      <c r="F29" s="19"/>
      <c r="G29" s="23"/>
      <c r="H29" s="22" t="s">
        <v>14</v>
      </c>
      <c r="I29" s="33"/>
      <c r="K29" s="26"/>
    </row>
    <row r="30" spans="1:20" ht="15.75" hidden="1" customHeight="1" x14ac:dyDescent="0.25">
      <c r="A30" s="104"/>
      <c r="B30" s="25" t="s">
        <v>17</v>
      </c>
      <c r="C30" s="19"/>
      <c r="D30" s="30"/>
      <c r="E30" s="27"/>
      <c r="F30" s="19"/>
      <c r="G30" s="23"/>
      <c r="H30" s="19"/>
      <c r="I30" s="33"/>
      <c r="K30" s="26"/>
    </row>
    <row r="31" spans="1:20" x14ac:dyDescent="0.25">
      <c r="B31" s="4"/>
      <c r="C31" s="15">
        <f t="shared" ref="C31:H31" si="0">COUNTA(C9:C13,C20:C24)</f>
        <v>0</v>
      </c>
      <c r="D31" s="15">
        <f t="shared" si="0"/>
        <v>0</v>
      </c>
      <c r="E31" s="15">
        <f t="shared" si="0"/>
        <v>8</v>
      </c>
      <c r="F31" s="15">
        <f t="shared" si="0"/>
        <v>8</v>
      </c>
      <c r="G31" s="15">
        <f t="shared" si="0"/>
        <v>8</v>
      </c>
      <c r="H31" s="15">
        <f t="shared" si="0"/>
        <v>8</v>
      </c>
      <c r="I31" s="15">
        <f>COUNTA(I9:I13,I20:I26)</f>
        <v>10</v>
      </c>
      <c r="K31" s="26"/>
      <c r="O31" t="s">
        <v>39</v>
      </c>
    </row>
    <row r="32" spans="1:20" ht="15.95" customHeight="1" x14ac:dyDescent="0.25">
      <c r="A32" s="111" t="s">
        <v>2</v>
      </c>
      <c r="B32" s="6" t="s">
        <v>3</v>
      </c>
      <c r="C32" s="6"/>
      <c r="D32" s="6"/>
      <c r="E32" s="6" t="s">
        <v>99</v>
      </c>
      <c r="F32" s="6" t="s">
        <v>100</v>
      </c>
      <c r="G32" s="6" t="s">
        <v>101</v>
      </c>
      <c r="H32" s="6" t="s">
        <v>102</v>
      </c>
      <c r="I32" s="6" t="s">
        <v>103</v>
      </c>
      <c r="K32" s="26"/>
      <c r="O32" s="53" t="s">
        <v>40</v>
      </c>
      <c r="P32" s="53" t="s">
        <v>41</v>
      </c>
      <c r="Q32" s="4" t="s">
        <v>42</v>
      </c>
      <c r="R32" s="4" t="s">
        <v>43</v>
      </c>
      <c r="S32" s="44">
        <v>46143</v>
      </c>
      <c r="T32" t="s">
        <v>45</v>
      </c>
    </row>
    <row r="33" spans="1:20" x14ac:dyDescent="0.25">
      <c r="A33" s="111"/>
      <c r="B33" s="133" t="s">
        <v>5</v>
      </c>
      <c r="C33" s="9"/>
      <c r="D33" s="9"/>
      <c r="E33" s="9" t="s">
        <v>9</v>
      </c>
      <c r="F33" s="9" t="s">
        <v>9</v>
      </c>
      <c r="G33" s="45" t="s">
        <v>9</v>
      </c>
      <c r="H33" s="9" t="s">
        <v>9</v>
      </c>
      <c r="I33" s="56" t="s">
        <v>9</v>
      </c>
      <c r="K33" s="26"/>
      <c r="N33" s="7" t="s">
        <v>4</v>
      </c>
      <c r="O33" s="8"/>
      <c r="P33" s="8"/>
      <c r="Q33" s="4"/>
      <c r="R33" s="4"/>
      <c r="T33">
        <v>0</v>
      </c>
    </row>
    <row r="34" spans="1:20" x14ac:dyDescent="0.25">
      <c r="A34" s="111"/>
      <c r="B34" s="134"/>
      <c r="C34" s="9"/>
      <c r="D34" s="9"/>
      <c r="E34" s="9" t="s">
        <v>8</v>
      </c>
      <c r="F34" s="9" t="s">
        <v>8</v>
      </c>
      <c r="G34" s="45" t="s">
        <v>8</v>
      </c>
      <c r="H34" s="56" t="s">
        <v>7</v>
      </c>
      <c r="I34" s="56" t="s">
        <v>7</v>
      </c>
      <c r="K34" s="26"/>
      <c r="N34" t="s">
        <v>7</v>
      </c>
      <c r="O34" s="12">
        <v>46101</v>
      </c>
      <c r="P34" s="12" t="s">
        <v>46</v>
      </c>
      <c r="Q34" s="12" t="s">
        <v>46</v>
      </c>
      <c r="R34" s="12" t="s">
        <v>46</v>
      </c>
      <c r="S34" s="12" t="s">
        <v>46</v>
      </c>
      <c r="T34">
        <v>0</v>
      </c>
    </row>
    <row r="35" spans="1:20" x14ac:dyDescent="0.25">
      <c r="A35" s="111"/>
      <c r="B35" s="134"/>
      <c r="C35" s="9"/>
      <c r="D35" s="56"/>
      <c r="E35" s="56" t="s">
        <v>7</v>
      </c>
      <c r="F35" s="56" t="s">
        <v>7</v>
      </c>
      <c r="G35" s="56" t="s">
        <v>7</v>
      </c>
      <c r="H35" s="9" t="s">
        <v>10</v>
      </c>
      <c r="I35" s="9" t="s">
        <v>10</v>
      </c>
      <c r="K35" s="26"/>
      <c r="N35" s="7" t="s">
        <v>10</v>
      </c>
      <c r="O35" s="13">
        <v>46095</v>
      </c>
      <c r="P35" s="13">
        <v>46122</v>
      </c>
      <c r="Q35" s="44">
        <v>46143</v>
      </c>
      <c r="R35" s="44">
        <v>46151</v>
      </c>
      <c r="S35" s="42">
        <v>46192</v>
      </c>
      <c r="T35">
        <v>0</v>
      </c>
    </row>
    <row r="36" spans="1:20" x14ac:dyDescent="0.25">
      <c r="A36" s="111"/>
      <c r="B36" s="134"/>
      <c r="C36" s="9"/>
      <c r="D36" s="9"/>
      <c r="E36" s="56" t="s">
        <v>14</v>
      </c>
      <c r="F36" s="56" t="s">
        <v>10</v>
      </c>
      <c r="G36" s="9" t="s">
        <v>10</v>
      </c>
      <c r="H36" s="9"/>
      <c r="I36" s="9"/>
      <c r="K36" s="26"/>
      <c r="N36" t="s">
        <v>9</v>
      </c>
      <c r="O36" s="14">
        <v>46094</v>
      </c>
      <c r="P36" s="14">
        <v>46123</v>
      </c>
      <c r="Q36" s="44">
        <v>46137</v>
      </c>
      <c r="R36" s="44">
        <v>46171</v>
      </c>
      <c r="S36" s="42">
        <v>46179</v>
      </c>
      <c r="T36">
        <v>0</v>
      </c>
    </row>
    <row r="37" spans="1:20" x14ac:dyDescent="0.25">
      <c r="A37" s="111"/>
      <c r="B37" s="135"/>
      <c r="C37" s="9"/>
      <c r="D37" s="56"/>
      <c r="E37" s="9" t="s">
        <v>16</v>
      </c>
      <c r="F37" s="9" t="s">
        <v>16</v>
      </c>
      <c r="G37" s="45" t="s">
        <v>16</v>
      </c>
      <c r="H37" s="9" t="s">
        <v>16</v>
      </c>
      <c r="I37" s="9" t="s">
        <v>16</v>
      </c>
      <c r="K37" s="26"/>
      <c r="N37" s="7" t="s">
        <v>11</v>
      </c>
      <c r="O37" s="13">
        <v>46102</v>
      </c>
      <c r="P37" s="13">
        <v>46136</v>
      </c>
      <c r="Q37" s="44">
        <v>46150</v>
      </c>
      <c r="R37" s="44">
        <v>46164</v>
      </c>
      <c r="S37" s="42">
        <v>46165</v>
      </c>
      <c r="T37">
        <v>0</v>
      </c>
    </row>
    <row r="38" spans="1:20" x14ac:dyDescent="0.25">
      <c r="A38" s="111"/>
      <c r="B38" s="18" t="s">
        <v>12</v>
      </c>
      <c r="C38" s="19"/>
      <c r="D38" s="19"/>
      <c r="E38" s="20" t="s">
        <v>7</v>
      </c>
      <c r="F38" s="20" t="s">
        <v>10</v>
      </c>
      <c r="G38" s="46"/>
      <c r="H38" s="19"/>
      <c r="I38" s="20" t="s">
        <v>9</v>
      </c>
      <c r="K38" s="26"/>
      <c r="N38" t="s">
        <v>8</v>
      </c>
      <c r="O38" s="14">
        <v>46108</v>
      </c>
      <c r="P38" s="14">
        <v>46129</v>
      </c>
      <c r="Q38" s="44">
        <v>46115</v>
      </c>
      <c r="R38" s="44">
        <v>46158</v>
      </c>
      <c r="S38" s="42">
        <v>46185</v>
      </c>
      <c r="T38">
        <v>0</v>
      </c>
    </row>
    <row r="39" spans="1:20" x14ac:dyDescent="0.25">
      <c r="A39" s="111"/>
      <c r="B39" s="31"/>
      <c r="C39" s="19"/>
      <c r="D39" s="19"/>
      <c r="E39" s="19"/>
      <c r="F39" s="19"/>
      <c r="G39" s="47"/>
      <c r="H39" s="19"/>
      <c r="I39" s="19"/>
      <c r="K39" s="26"/>
      <c r="N39" s="7" t="s">
        <v>13</v>
      </c>
      <c r="O39" s="13">
        <v>46084</v>
      </c>
      <c r="P39" s="13">
        <v>46115</v>
      </c>
      <c r="Q39" s="44">
        <v>46130</v>
      </c>
      <c r="R39" s="44">
        <v>46116</v>
      </c>
      <c r="S39" s="42">
        <v>46172</v>
      </c>
      <c r="T39">
        <v>0</v>
      </c>
    </row>
    <row r="40" spans="1:20" x14ac:dyDescent="0.25">
      <c r="A40" s="111"/>
      <c r="B40" s="128" t="s">
        <v>15</v>
      </c>
      <c r="C40" s="19"/>
      <c r="D40" s="19"/>
      <c r="E40" s="23"/>
      <c r="F40" s="19"/>
      <c r="G40" s="47"/>
      <c r="H40" s="23"/>
      <c r="I40" s="19"/>
      <c r="K40" s="26"/>
      <c r="N40" s="7"/>
      <c r="O40" s="13"/>
      <c r="P40" s="13"/>
      <c r="Q40" s="4"/>
      <c r="R40" s="4"/>
    </row>
    <row r="41" spans="1:20" x14ac:dyDescent="0.25">
      <c r="A41" s="111"/>
      <c r="B41" s="129"/>
      <c r="C41" s="19"/>
      <c r="D41" s="19"/>
      <c r="E41" s="23"/>
      <c r="F41" s="23"/>
      <c r="G41" s="46"/>
      <c r="H41" s="23"/>
      <c r="I41" s="19"/>
      <c r="K41" s="26"/>
      <c r="N41" t="s">
        <v>14</v>
      </c>
      <c r="O41" s="12">
        <v>46109</v>
      </c>
      <c r="P41" s="12">
        <v>46110</v>
      </c>
      <c r="Q41" s="44">
        <v>46116</v>
      </c>
      <c r="R41" s="42">
        <v>46157</v>
      </c>
      <c r="S41" s="42">
        <v>46186</v>
      </c>
      <c r="T41">
        <v>0</v>
      </c>
    </row>
    <row r="42" spans="1:20" x14ac:dyDescent="0.25">
      <c r="A42" s="111"/>
      <c r="B42" s="25" t="s">
        <v>17</v>
      </c>
      <c r="C42" s="19"/>
      <c r="D42" s="19"/>
      <c r="E42" s="23"/>
      <c r="F42" s="23"/>
      <c r="G42" s="46"/>
      <c r="H42" s="23"/>
      <c r="I42" s="19"/>
      <c r="K42" s="26"/>
      <c r="N42" s="7" t="s">
        <v>16</v>
      </c>
      <c r="O42" s="24">
        <v>46088</v>
      </c>
      <c r="P42" s="24">
        <v>46116</v>
      </c>
      <c r="Q42" s="44">
        <v>46144</v>
      </c>
      <c r="R42" s="44">
        <v>46115</v>
      </c>
      <c r="S42" s="42">
        <v>46137</v>
      </c>
      <c r="T42">
        <v>0</v>
      </c>
    </row>
    <row r="43" spans="1:20" x14ac:dyDescent="0.25">
      <c r="A43" s="111"/>
      <c r="B43" s="123" t="s">
        <v>18</v>
      </c>
      <c r="C43" s="9"/>
      <c r="D43" s="9"/>
      <c r="E43" s="9" t="s">
        <v>11</v>
      </c>
      <c r="F43" s="9" t="s">
        <v>11</v>
      </c>
      <c r="G43" s="45" t="s">
        <v>11</v>
      </c>
      <c r="H43" s="9" t="s">
        <v>11</v>
      </c>
      <c r="I43" s="90" t="s">
        <v>11</v>
      </c>
      <c r="K43" s="26"/>
      <c r="N43" s="7"/>
      <c r="O43" s="24"/>
      <c r="P43" s="24"/>
      <c r="Q43" s="4"/>
      <c r="R43" s="4"/>
    </row>
    <row r="44" spans="1:20" x14ac:dyDescent="0.25">
      <c r="A44" s="111"/>
      <c r="B44" s="124"/>
      <c r="C44" s="56"/>
      <c r="D44" s="9"/>
      <c r="E44" s="9" t="s">
        <v>6</v>
      </c>
      <c r="F44" s="9" t="s">
        <v>6</v>
      </c>
      <c r="G44" s="9" t="s">
        <v>6</v>
      </c>
      <c r="H44" s="9" t="s">
        <v>6</v>
      </c>
      <c r="I44" s="9" t="s">
        <v>6</v>
      </c>
      <c r="K44" s="26"/>
      <c r="O44" s="4"/>
      <c r="P44" s="4"/>
      <c r="Q44" s="4"/>
      <c r="R44" s="4"/>
    </row>
    <row r="45" spans="1:20" x14ac:dyDescent="0.25">
      <c r="A45" s="111"/>
      <c r="B45" s="124"/>
      <c r="C45" s="9"/>
      <c r="D45" s="9"/>
      <c r="E45" s="9" t="s">
        <v>10</v>
      </c>
      <c r="F45" s="56" t="s">
        <v>14</v>
      </c>
      <c r="G45" s="56" t="s">
        <v>14</v>
      </c>
      <c r="H45" s="56" t="s">
        <v>14</v>
      </c>
      <c r="I45" s="56" t="s">
        <v>14</v>
      </c>
      <c r="K45" s="26"/>
    </row>
    <row r="46" spans="1:20" x14ac:dyDescent="0.25">
      <c r="A46" s="111"/>
      <c r="B46" s="124"/>
      <c r="C46" s="56"/>
      <c r="D46" s="9"/>
      <c r="E46" s="9"/>
      <c r="F46" s="9" t="s">
        <v>7</v>
      </c>
      <c r="G46" s="9" t="s">
        <v>7</v>
      </c>
      <c r="H46" s="17" t="s">
        <v>8</v>
      </c>
      <c r="I46" s="62" t="s">
        <v>8</v>
      </c>
      <c r="K46" s="26"/>
    </row>
    <row r="47" spans="1:20" x14ac:dyDescent="0.25">
      <c r="A47" s="111"/>
      <c r="B47" s="125"/>
      <c r="C47" s="9"/>
      <c r="D47" s="9"/>
      <c r="E47" s="9"/>
      <c r="F47" s="9"/>
      <c r="G47" s="45"/>
      <c r="H47" s="9" t="s">
        <v>7</v>
      </c>
      <c r="I47" s="9" t="s">
        <v>7</v>
      </c>
      <c r="K47" s="26"/>
    </row>
    <row r="48" spans="1:20" x14ac:dyDescent="0.25">
      <c r="A48" s="111"/>
      <c r="B48" s="126" t="s">
        <v>12</v>
      </c>
      <c r="C48" s="28"/>
      <c r="D48" s="19"/>
      <c r="E48" s="27"/>
      <c r="F48" s="27"/>
      <c r="G48" s="48"/>
      <c r="H48" s="29"/>
      <c r="I48" s="20" t="s">
        <v>11</v>
      </c>
      <c r="K48" s="26"/>
    </row>
    <row r="49" spans="1:18" x14ac:dyDescent="0.25">
      <c r="A49" s="111"/>
      <c r="B49" s="130"/>
      <c r="C49" s="28"/>
      <c r="D49" s="19"/>
      <c r="E49" s="27"/>
      <c r="F49" s="27"/>
      <c r="G49" s="48"/>
      <c r="H49" s="29"/>
      <c r="I49" s="20" t="s">
        <v>8</v>
      </c>
      <c r="K49" s="26"/>
    </row>
    <row r="50" spans="1:18" x14ac:dyDescent="0.25">
      <c r="A50" s="111"/>
      <c r="B50" s="127"/>
      <c r="C50" s="28"/>
      <c r="D50" s="19"/>
      <c r="E50" s="27"/>
      <c r="F50" s="27"/>
      <c r="G50" s="48"/>
      <c r="H50" s="29"/>
      <c r="I50" s="20"/>
      <c r="K50" s="26"/>
    </row>
    <row r="51" spans="1:18" x14ac:dyDescent="0.25">
      <c r="A51" s="111"/>
      <c r="B51" s="22" t="s">
        <v>15</v>
      </c>
      <c r="C51" s="28"/>
      <c r="D51" s="28"/>
      <c r="E51" s="27"/>
      <c r="F51" s="19"/>
      <c r="G51" s="49"/>
      <c r="H51" s="27"/>
      <c r="I51" s="33"/>
      <c r="K51" s="26"/>
    </row>
    <row r="52" spans="1:18" x14ac:dyDescent="0.25">
      <c r="A52" s="111"/>
      <c r="B52" s="25" t="s">
        <v>17</v>
      </c>
      <c r="C52" s="28"/>
      <c r="D52" s="28"/>
      <c r="E52" s="27"/>
      <c r="F52" s="19"/>
      <c r="G52" s="49"/>
      <c r="H52" s="27"/>
      <c r="I52" s="33"/>
      <c r="K52" s="26"/>
    </row>
    <row r="53" spans="1:18" x14ac:dyDescent="0.25">
      <c r="B53" s="4"/>
      <c r="C53" s="15">
        <f>COUNTA(C33:C37,C43:C47)</f>
        <v>0</v>
      </c>
      <c r="D53" s="15">
        <f>COUNTA(D33:D37,D43:D47)</f>
        <v>0</v>
      </c>
      <c r="E53" s="15">
        <f>COUNTA(E33:E37,E43:E47)</f>
        <v>8</v>
      </c>
      <c r="F53" s="15">
        <f>COUNTA(F33:F37,F43:F47)</f>
        <v>9</v>
      </c>
      <c r="G53" s="15">
        <f>COUNTA(G33:G37,G43:G47)</f>
        <v>9</v>
      </c>
      <c r="H53" s="15">
        <f>COUNTA(H33:H37,H43:H47)</f>
        <v>9</v>
      </c>
      <c r="I53" s="15">
        <f>COUNTA(I33:I37,I43:I47)</f>
        <v>9</v>
      </c>
      <c r="K53" s="26"/>
    </row>
    <row r="54" spans="1:18" ht="15.95" customHeight="1" x14ac:dyDescent="0.25">
      <c r="A54" s="111" t="s">
        <v>19</v>
      </c>
      <c r="B54" s="6" t="s">
        <v>3</v>
      </c>
      <c r="C54" s="6" t="s">
        <v>130</v>
      </c>
      <c r="D54" s="6" t="s">
        <v>132</v>
      </c>
      <c r="E54" s="6" t="s">
        <v>133</v>
      </c>
      <c r="F54" s="6" t="s">
        <v>134</v>
      </c>
      <c r="G54" s="6" t="s">
        <v>135</v>
      </c>
      <c r="H54" s="6" t="s">
        <v>136</v>
      </c>
      <c r="I54" s="6" t="s">
        <v>137</v>
      </c>
      <c r="K54" s="26"/>
    </row>
    <row r="55" spans="1:18" x14ac:dyDescent="0.25">
      <c r="A55" s="111"/>
      <c r="B55" s="123" t="s">
        <v>5</v>
      </c>
      <c r="C55" s="9" t="s">
        <v>10</v>
      </c>
      <c r="D55" s="9" t="s">
        <v>10</v>
      </c>
      <c r="E55" s="9" t="s">
        <v>10</v>
      </c>
      <c r="F55" s="9" t="s">
        <v>10</v>
      </c>
      <c r="G55" s="9" t="s">
        <v>10</v>
      </c>
      <c r="H55" s="9" t="s">
        <v>10</v>
      </c>
      <c r="I55" s="56" t="s">
        <v>10</v>
      </c>
      <c r="K55" s="26"/>
    </row>
    <row r="56" spans="1:18" x14ac:dyDescent="0.25">
      <c r="A56" s="111"/>
      <c r="B56" s="124"/>
      <c r="C56" s="9" t="s">
        <v>7</v>
      </c>
      <c r="D56" s="9" t="s">
        <v>11</v>
      </c>
      <c r="E56" s="9" t="s">
        <v>11</v>
      </c>
      <c r="F56" s="9" t="s">
        <v>11</v>
      </c>
      <c r="G56" s="9" t="s">
        <v>11</v>
      </c>
      <c r="H56" s="56" t="s">
        <v>8</v>
      </c>
      <c r="I56" s="56" t="s">
        <v>8</v>
      </c>
      <c r="K56" s="26"/>
    </row>
    <row r="57" spans="1:18" x14ac:dyDescent="0.25">
      <c r="A57" s="111"/>
      <c r="B57" s="124"/>
      <c r="C57" s="9" t="s">
        <v>11</v>
      </c>
      <c r="D57" s="56" t="s">
        <v>16</v>
      </c>
      <c r="E57" s="56" t="s">
        <v>8</v>
      </c>
      <c r="F57" s="56" t="s">
        <v>8</v>
      </c>
      <c r="G57" s="56" t="s">
        <v>8</v>
      </c>
      <c r="H57" s="56" t="s">
        <v>7</v>
      </c>
      <c r="I57" s="9" t="s">
        <v>7</v>
      </c>
      <c r="K57" s="26"/>
    </row>
    <row r="58" spans="1:18" x14ac:dyDescent="0.25">
      <c r="A58" s="111"/>
      <c r="B58" s="124"/>
      <c r="C58" s="9"/>
      <c r="D58" s="9" t="s">
        <v>7</v>
      </c>
      <c r="E58" s="56" t="s">
        <v>16</v>
      </c>
      <c r="F58" s="56" t="s">
        <v>7</v>
      </c>
      <c r="G58" s="62" t="s">
        <v>162</v>
      </c>
      <c r="H58" s="9" t="s">
        <v>11</v>
      </c>
      <c r="I58" s="56" t="s">
        <v>11</v>
      </c>
      <c r="J58" s="34"/>
      <c r="K58" s="26"/>
    </row>
    <row r="59" spans="1:18" x14ac:dyDescent="0.25">
      <c r="A59" s="111"/>
      <c r="B59" s="125"/>
      <c r="C59" s="9"/>
      <c r="D59" s="56" t="s">
        <v>6</v>
      </c>
      <c r="E59" s="9" t="s">
        <v>6</v>
      </c>
      <c r="F59" s="9" t="s">
        <v>6</v>
      </c>
      <c r="G59" s="9" t="s">
        <v>6</v>
      </c>
      <c r="H59" s="9" t="s">
        <v>6</v>
      </c>
      <c r="I59" s="9" t="s">
        <v>6</v>
      </c>
      <c r="K59" s="26"/>
    </row>
    <row r="60" spans="1:18" x14ac:dyDescent="0.25">
      <c r="A60" s="111"/>
      <c r="B60" s="126" t="s">
        <v>12</v>
      </c>
      <c r="C60" s="19"/>
      <c r="D60" s="18" t="s">
        <v>6</v>
      </c>
      <c r="E60" s="20" t="s">
        <v>16</v>
      </c>
      <c r="F60" s="20" t="s">
        <v>7</v>
      </c>
      <c r="G60" s="19"/>
      <c r="H60" s="19"/>
      <c r="I60" s="20" t="s">
        <v>10</v>
      </c>
      <c r="K60" s="26"/>
    </row>
    <row r="61" spans="1:18" x14ac:dyDescent="0.25">
      <c r="A61" s="111"/>
      <c r="B61" s="127"/>
      <c r="C61" s="19"/>
      <c r="D61" s="19"/>
      <c r="E61" s="19"/>
      <c r="F61" s="19"/>
      <c r="G61" s="30"/>
      <c r="H61" s="19"/>
      <c r="I61" s="19"/>
      <c r="K61" s="26"/>
    </row>
    <row r="62" spans="1:18" ht="19.5" customHeight="1" x14ac:dyDescent="0.25">
      <c r="A62" s="111"/>
      <c r="B62" s="128" t="s">
        <v>15</v>
      </c>
      <c r="C62" s="19"/>
      <c r="D62" s="19"/>
      <c r="E62" s="19"/>
      <c r="F62" s="19"/>
      <c r="G62" s="95"/>
      <c r="H62" s="19"/>
      <c r="I62" s="19"/>
      <c r="K62" s="26"/>
    </row>
    <row r="63" spans="1:18" ht="19.5" customHeight="1" x14ac:dyDescent="0.25">
      <c r="A63" s="111"/>
      <c r="B63" s="129"/>
      <c r="C63" s="19"/>
      <c r="D63" s="19"/>
      <c r="E63" s="19"/>
      <c r="F63" s="19"/>
      <c r="G63" s="95"/>
      <c r="H63" s="33"/>
      <c r="I63" s="19"/>
      <c r="K63" s="26"/>
    </row>
    <row r="64" spans="1:18" x14ac:dyDescent="0.25">
      <c r="A64" s="111"/>
      <c r="B64" s="25" t="s">
        <v>17</v>
      </c>
      <c r="C64" s="19"/>
      <c r="D64" s="19"/>
      <c r="E64" s="19"/>
      <c r="F64" s="19"/>
      <c r="G64" s="33"/>
      <c r="H64" s="33"/>
      <c r="I64" s="19"/>
      <c r="K64" s="26"/>
    </row>
    <row r="65" spans="1:14" x14ac:dyDescent="0.25">
      <c r="A65" s="111"/>
      <c r="B65" s="123" t="s">
        <v>18</v>
      </c>
      <c r="C65" s="9" t="s">
        <v>9</v>
      </c>
      <c r="D65" s="9" t="s">
        <v>9</v>
      </c>
      <c r="E65" s="9" t="s">
        <v>9</v>
      </c>
      <c r="F65" s="9" t="s">
        <v>9</v>
      </c>
      <c r="G65" s="9" t="s">
        <v>9</v>
      </c>
      <c r="H65" s="9" t="s">
        <v>9</v>
      </c>
      <c r="I65" s="56" t="s">
        <v>8</v>
      </c>
      <c r="K65" s="26"/>
    </row>
    <row r="66" spans="1:14" x14ac:dyDescent="0.25">
      <c r="A66" s="111"/>
      <c r="B66" s="124"/>
      <c r="C66" s="56" t="s">
        <v>8</v>
      </c>
      <c r="D66" s="9" t="s">
        <v>8</v>
      </c>
      <c r="E66" s="56" t="s">
        <v>8</v>
      </c>
      <c r="F66" s="56" t="s">
        <v>8</v>
      </c>
      <c r="G66" s="56" t="s">
        <v>8</v>
      </c>
      <c r="H66" s="56" t="s">
        <v>8</v>
      </c>
      <c r="I66" s="9" t="s">
        <v>16</v>
      </c>
      <c r="K66" s="26"/>
    </row>
    <row r="67" spans="1:14" x14ac:dyDescent="0.25">
      <c r="A67" s="111"/>
      <c r="B67" s="124"/>
      <c r="C67" s="9" t="s">
        <v>16</v>
      </c>
      <c r="D67" s="9" t="s">
        <v>16</v>
      </c>
      <c r="E67" s="9" t="s">
        <v>7</v>
      </c>
      <c r="F67" s="9" t="s">
        <v>16</v>
      </c>
      <c r="G67" s="9" t="s">
        <v>16</v>
      </c>
      <c r="H67" s="9" t="s">
        <v>16</v>
      </c>
      <c r="I67" s="56" t="s">
        <v>9</v>
      </c>
      <c r="J67" s="34"/>
      <c r="K67" s="26"/>
    </row>
    <row r="68" spans="1:14" x14ac:dyDescent="0.25">
      <c r="A68" s="111"/>
      <c r="B68" s="124"/>
      <c r="C68" s="56" t="s">
        <v>16</v>
      </c>
      <c r="E68" s="56" t="s">
        <v>6</v>
      </c>
      <c r="F68" s="56" t="s">
        <v>6</v>
      </c>
      <c r="G68" s="56" t="s">
        <v>11</v>
      </c>
      <c r="H68" s="56" t="s">
        <v>11</v>
      </c>
      <c r="I68" s="56" t="s">
        <v>11</v>
      </c>
      <c r="K68" s="26"/>
    </row>
    <row r="69" spans="1:14" x14ac:dyDescent="0.25">
      <c r="A69" s="111"/>
      <c r="B69" s="125"/>
      <c r="C69" s="9" t="s">
        <v>6</v>
      </c>
      <c r="D69" s="56" t="s">
        <v>6</v>
      </c>
      <c r="E69" s="9" t="s">
        <v>8</v>
      </c>
      <c r="F69" s="9" t="s">
        <v>8</v>
      </c>
      <c r="G69" s="9" t="s">
        <v>8</v>
      </c>
      <c r="H69" s="9" t="s">
        <v>8</v>
      </c>
      <c r="I69" s="9" t="s">
        <v>8</v>
      </c>
      <c r="K69" s="26"/>
    </row>
    <row r="70" spans="1:14" x14ac:dyDescent="0.25">
      <c r="A70" s="111"/>
      <c r="B70" s="100"/>
      <c r="C70" s="9"/>
      <c r="D70" s="56"/>
      <c r="E70" s="9"/>
      <c r="F70" s="9"/>
      <c r="G70" s="167" t="s">
        <v>162</v>
      </c>
      <c r="H70" s="9" t="s">
        <v>7</v>
      </c>
      <c r="I70" s="9"/>
      <c r="K70" s="26"/>
    </row>
    <row r="71" spans="1:14" x14ac:dyDescent="0.25">
      <c r="A71" s="111"/>
      <c r="B71" s="126" t="s">
        <v>12</v>
      </c>
      <c r="C71" s="18" t="s">
        <v>8</v>
      </c>
      <c r="D71" s="19"/>
      <c r="E71" s="27"/>
      <c r="F71" s="27"/>
      <c r="G71" s="27"/>
      <c r="H71" s="19"/>
      <c r="I71" s="20" t="s">
        <v>9</v>
      </c>
    </row>
    <row r="72" spans="1:14" x14ac:dyDescent="0.25">
      <c r="A72" s="111"/>
      <c r="B72" s="127"/>
      <c r="C72" s="19"/>
      <c r="D72" s="19"/>
      <c r="E72" s="27"/>
      <c r="F72" s="27"/>
      <c r="G72" s="27"/>
      <c r="H72" s="19"/>
      <c r="I72" s="20" t="s">
        <v>11</v>
      </c>
    </row>
    <row r="73" spans="1:14" x14ac:dyDescent="0.25">
      <c r="A73" s="111"/>
      <c r="B73" s="22" t="s">
        <v>15</v>
      </c>
      <c r="C73" s="19"/>
      <c r="D73" s="19"/>
      <c r="E73" s="19"/>
      <c r="F73" s="19"/>
      <c r="G73" s="27"/>
      <c r="H73" s="27"/>
      <c r="I73" s="33"/>
      <c r="K73" s="97"/>
      <c r="L73" s="97"/>
      <c r="M73" s="97"/>
      <c r="N73" s="97"/>
    </row>
    <row r="74" spans="1:14" x14ac:dyDescent="0.25">
      <c r="A74" s="111"/>
      <c r="B74" s="25" t="s">
        <v>17</v>
      </c>
      <c r="C74" s="19"/>
      <c r="D74" s="19"/>
      <c r="E74" s="19"/>
      <c r="F74" s="19"/>
      <c r="G74" s="27"/>
      <c r="H74" s="28"/>
      <c r="I74" s="28"/>
      <c r="K74" s="97"/>
      <c r="L74" s="97"/>
      <c r="M74" s="97"/>
      <c r="N74" s="97"/>
    </row>
    <row r="75" spans="1:14" x14ac:dyDescent="0.25">
      <c r="B75" s="4"/>
      <c r="C75" s="15">
        <f>COUNTA(C55:C59,C65:C69)</f>
        <v>8</v>
      </c>
      <c r="D75" s="15">
        <f>COUNTA(D55:D59,D65:D69)</f>
        <v>9</v>
      </c>
      <c r="E75" s="15">
        <f t="shared" ref="E75:I75" si="1">COUNTA(E55:E59,E65:E69)</f>
        <v>10</v>
      </c>
      <c r="F75" s="15">
        <f t="shared" si="1"/>
        <v>10</v>
      </c>
      <c r="G75" s="15">
        <f t="shared" si="1"/>
        <v>10</v>
      </c>
      <c r="H75" s="15">
        <f t="shared" si="1"/>
        <v>10</v>
      </c>
      <c r="I75" s="15">
        <f t="shared" si="1"/>
        <v>10</v>
      </c>
      <c r="K75" s="36"/>
      <c r="L75" s="97"/>
      <c r="M75" s="97"/>
      <c r="N75" s="97"/>
    </row>
    <row r="76" spans="1:14" ht="15.95" customHeight="1" x14ac:dyDescent="0.25">
      <c r="A76" s="111" t="s">
        <v>20</v>
      </c>
      <c r="B76" s="6" t="s">
        <v>3</v>
      </c>
      <c r="C76" s="6" t="s">
        <v>138</v>
      </c>
      <c r="D76" s="6" t="s">
        <v>139</v>
      </c>
      <c r="E76" s="6" t="s">
        <v>140</v>
      </c>
      <c r="F76" s="6" t="s">
        <v>141</v>
      </c>
      <c r="G76" s="6" t="s">
        <v>142</v>
      </c>
      <c r="H76" s="6" t="s">
        <v>143</v>
      </c>
      <c r="I76" s="6" t="s">
        <v>144</v>
      </c>
      <c r="K76" s="97"/>
      <c r="L76" s="97"/>
      <c r="M76" s="97"/>
      <c r="N76" s="97"/>
    </row>
    <row r="77" spans="1:14" x14ac:dyDescent="0.25">
      <c r="A77" s="111"/>
      <c r="B77" s="123" t="s">
        <v>5</v>
      </c>
      <c r="C77" s="9" t="s">
        <v>10</v>
      </c>
      <c r="D77" s="9" t="s">
        <v>10</v>
      </c>
      <c r="E77" s="9" t="s">
        <v>10</v>
      </c>
      <c r="F77" s="9" t="s">
        <v>10</v>
      </c>
      <c r="G77" s="9" t="s">
        <v>10</v>
      </c>
      <c r="H77" s="9" t="s">
        <v>10</v>
      </c>
      <c r="I77" s="56" t="s">
        <v>10</v>
      </c>
      <c r="K77" s="37"/>
      <c r="L77" s="97"/>
      <c r="M77" s="97"/>
      <c r="N77" s="97"/>
    </row>
    <row r="78" spans="1:14" x14ac:dyDescent="0.25">
      <c r="A78" s="111"/>
      <c r="B78" s="124"/>
      <c r="C78" s="9" t="s">
        <v>7</v>
      </c>
      <c r="D78" s="9" t="s">
        <v>11</v>
      </c>
      <c r="E78" s="9" t="s">
        <v>11</v>
      </c>
      <c r="F78" s="9" t="s">
        <v>11</v>
      </c>
      <c r="G78" s="9" t="s">
        <v>11</v>
      </c>
      <c r="H78" s="56" t="s">
        <v>16</v>
      </c>
      <c r="I78" s="56" t="s">
        <v>16</v>
      </c>
      <c r="K78" s="11"/>
    </row>
    <row r="79" spans="1:14" x14ac:dyDescent="0.25">
      <c r="A79" s="111"/>
      <c r="B79" s="124"/>
      <c r="C79" s="9" t="s">
        <v>11</v>
      </c>
      <c r="D79" s="56" t="s">
        <v>16</v>
      </c>
      <c r="E79" s="9" t="s">
        <v>6</v>
      </c>
      <c r="F79" s="9" t="s">
        <v>6</v>
      </c>
      <c r="G79" s="9" t="s">
        <v>6</v>
      </c>
      <c r="H79" s="101" t="s">
        <v>7</v>
      </c>
      <c r="I79" s="9" t="s">
        <v>7</v>
      </c>
      <c r="K79" s="11"/>
    </row>
    <row r="80" spans="1:14" x14ac:dyDescent="0.25">
      <c r="A80" s="111"/>
      <c r="B80" s="124"/>
      <c r="C80" s="9"/>
      <c r="D80" s="9" t="s">
        <v>7</v>
      </c>
      <c r="E80" s="56" t="s">
        <v>16</v>
      </c>
      <c r="F80" s="56" t="s">
        <v>7</v>
      </c>
      <c r="G80" s="101" t="s">
        <v>7</v>
      </c>
      <c r="H80" s="9" t="s">
        <v>6</v>
      </c>
      <c r="I80" s="9" t="s">
        <v>6</v>
      </c>
      <c r="K80" s="11"/>
    </row>
    <row r="81" spans="1:11" x14ac:dyDescent="0.25">
      <c r="A81" s="111"/>
      <c r="B81" s="125"/>
      <c r="C81" s="9"/>
      <c r="D81" s="9"/>
      <c r="E81" s="9"/>
      <c r="F81" s="9"/>
      <c r="G81" s="167"/>
      <c r="H81" s="9" t="s">
        <v>11</v>
      </c>
      <c r="I81" s="9"/>
      <c r="K81" s="11"/>
    </row>
    <row r="82" spans="1:11" x14ac:dyDescent="0.25">
      <c r="A82" s="111"/>
      <c r="B82" s="18" t="s">
        <v>12</v>
      </c>
      <c r="C82" s="19"/>
      <c r="D82" s="19"/>
      <c r="E82" s="20" t="s">
        <v>16</v>
      </c>
      <c r="F82" s="20" t="s">
        <v>7</v>
      </c>
      <c r="G82" s="19"/>
      <c r="H82" s="19"/>
      <c r="I82" s="20" t="s">
        <v>10</v>
      </c>
    </row>
    <row r="83" spans="1:11" x14ac:dyDescent="0.25">
      <c r="A83" s="111"/>
      <c r="B83" s="18"/>
      <c r="C83" s="19"/>
      <c r="D83" s="19"/>
      <c r="E83" s="19"/>
      <c r="F83" s="19"/>
      <c r="G83" s="19"/>
      <c r="H83" s="19"/>
      <c r="I83" s="19"/>
    </row>
    <row r="84" spans="1:11" x14ac:dyDescent="0.25">
      <c r="A84" s="111"/>
      <c r="B84" s="22" t="s">
        <v>15</v>
      </c>
      <c r="C84" s="19"/>
      <c r="D84" s="19"/>
      <c r="E84" s="23"/>
      <c r="F84" s="19"/>
      <c r="G84" s="21"/>
      <c r="H84" s="23"/>
      <c r="I84" s="19"/>
    </row>
    <row r="85" spans="1:11" x14ac:dyDescent="0.25">
      <c r="A85" s="111"/>
      <c r="B85" s="25" t="s">
        <v>17</v>
      </c>
      <c r="C85" s="19"/>
      <c r="D85" s="19"/>
      <c r="E85" s="23"/>
      <c r="F85" s="23"/>
      <c r="G85" s="21"/>
      <c r="H85" s="23"/>
      <c r="I85" s="19"/>
    </row>
    <row r="86" spans="1:11" x14ac:dyDescent="0.25">
      <c r="A86" s="111"/>
      <c r="B86" s="123" t="s">
        <v>18</v>
      </c>
      <c r="C86" s="9" t="s">
        <v>9</v>
      </c>
      <c r="D86" s="9" t="s">
        <v>9</v>
      </c>
      <c r="E86" s="9" t="s">
        <v>9</v>
      </c>
      <c r="F86" s="9" t="s">
        <v>9</v>
      </c>
      <c r="G86" s="9" t="s">
        <v>9</v>
      </c>
      <c r="H86" s="9" t="s">
        <v>9</v>
      </c>
      <c r="I86" s="90" t="s">
        <v>9</v>
      </c>
    </row>
    <row r="87" spans="1:11" x14ac:dyDescent="0.25">
      <c r="A87" s="111"/>
      <c r="B87" s="124"/>
      <c r="C87" s="56" t="s">
        <v>8</v>
      </c>
      <c r="D87" s="9" t="s">
        <v>8</v>
      </c>
      <c r="E87" s="9" t="s">
        <v>8</v>
      </c>
      <c r="F87" s="9" t="s">
        <v>8</v>
      </c>
      <c r="G87" s="9" t="s">
        <v>8</v>
      </c>
      <c r="H87" s="9" t="s">
        <v>8</v>
      </c>
      <c r="I87" s="9" t="s">
        <v>8</v>
      </c>
    </row>
    <row r="88" spans="1:11" x14ac:dyDescent="0.25">
      <c r="A88" s="111"/>
      <c r="B88" s="124"/>
      <c r="C88" s="9" t="s">
        <v>16</v>
      </c>
      <c r="D88" s="9" t="s">
        <v>16</v>
      </c>
      <c r="E88" s="9" t="s">
        <v>7</v>
      </c>
      <c r="F88" s="9" t="s">
        <v>16</v>
      </c>
      <c r="G88" s="9" t="s">
        <v>16</v>
      </c>
      <c r="H88" s="9" t="s">
        <v>16</v>
      </c>
      <c r="I88" s="9" t="s">
        <v>16</v>
      </c>
    </row>
    <row r="89" spans="1:11" x14ac:dyDescent="0.25">
      <c r="A89" s="111"/>
      <c r="B89" s="124"/>
      <c r="C89" s="9" t="s">
        <v>6</v>
      </c>
      <c r="D89" s="56" t="s">
        <v>6</v>
      </c>
      <c r="E89" s="9"/>
      <c r="F89" s="9"/>
      <c r="G89" s="101" t="s">
        <v>11</v>
      </c>
      <c r="H89" s="56" t="s">
        <v>11</v>
      </c>
      <c r="I89" s="62" t="s">
        <v>11</v>
      </c>
    </row>
    <row r="90" spans="1:11" x14ac:dyDescent="0.25">
      <c r="A90" s="111"/>
      <c r="B90" s="125"/>
      <c r="C90" s="56" t="s">
        <v>6</v>
      </c>
      <c r="D90" s="9"/>
      <c r="E90" s="9"/>
      <c r="F90" s="9"/>
      <c r="G90" s="167" t="s">
        <v>162</v>
      </c>
      <c r="H90" s="9" t="s">
        <v>7</v>
      </c>
      <c r="I90" s="9"/>
    </row>
    <row r="91" spans="1:11" x14ac:dyDescent="0.25">
      <c r="A91" s="111"/>
      <c r="B91" s="117" t="s">
        <v>12</v>
      </c>
      <c r="C91" s="18" t="s">
        <v>8</v>
      </c>
      <c r="D91" s="18" t="s">
        <v>6</v>
      </c>
      <c r="E91" s="27"/>
      <c r="F91" s="27"/>
      <c r="G91" s="27"/>
      <c r="H91" s="29"/>
      <c r="I91" s="20" t="s">
        <v>9</v>
      </c>
    </row>
    <row r="92" spans="1:11" x14ac:dyDescent="0.25">
      <c r="A92" s="111"/>
      <c r="B92" s="118"/>
      <c r="C92" s="19"/>
      <c r="D92" s="27"/>
      <c r="E92" s="27"/>
      <c r="F92" s="27"/>
      <c r="G92" s="27"/>
      <c r="H92" s="29"/>
      <c r="I92" s="20" t="s">
        <v>11</v>
      </c>
    </row>
    <row r="93" spans="1:11" x14ac:dyDescent="0.25">
      <c r="A93" s="111"/>
      <c r="B93" s="115" t="s">
        <v>15</v>
      </c>
      <c r="C93" s="19"/>
      <c r="D93" s="30"/>
      <c r="E93" s="27"/>
      <c r="F93" s="27"/>
      <c r="G93" s="27"/>
      <c r="H93" s="29"/>
      <c r="I93" s="33"/>
    </row>
    <row r="94" spans="1:11" x14ac:dyDescent="0.25">
      <c r="A94" s="111"/>
      <c r="B94" s="116"/>
      <c r="C94" s="19"/>
      <c r="D94" s="30"/>
      <c r="E94" s="27"/>
      <c r="F94" s="19"/>
      <c r="G94" s="23"/>
      <c r="H94" s="29"/>
      <c r="I94" s="33"/>
    </row>
    <row r="95" spans="1:11" x14ac:dyDescent="0.25">
      <c r="A95" s="111"/>
      <c r="B95" s="25" t="s">
        <v>17</v>
      </c>
      <c r="C95" s="19"/>
      <c r="D95" s="30"/>
      <c r="E95" s="27"/>
      <c r="F95" s="19"/>
      <c r="G95" s="23"/>
      <c r="H95" s="27"/>
      <c r="I95" s="33"/>
    </row>
    <row r="96" spans="1:11" x14ac:dyDescent="0.25">
      <c r="B96" s="4"/>
      <c r="C96" s="15">
        <f>COUNTA(C77:C81,C86:C90)</f>
        <v>8</v>
      </c>
      <c r="D96" s="15">
        <f t="shared" ref="D96:I96" si="2">COUNTA(D77:D81,D86:D90)</f>
        <v>8</v>
      </c>
      <c r="E96" s="15">
        <f t="shared" si="2"/>
        <v>7</v>
      </c>
      <c r="F96" s="15">
        <f t="shared" si="2"/>
        <v>7</v>
      </c>
      <c r="G96" s="15">
        <f t="shared" si="2"/>
        <v>9</v>
      </c>
      <c r="H96" s="15">
        <f t="shared" si="2"/>
        <v>10</v>
      </c>
      <c r="I96" s="15">
        <f t="shared" si="2"/>
        <v>8</v>
      </c>
    </row>
    <row r="97" spans="1:9" ht="15.95" customHeight="1" x14ac:dyDescent="0.25">
      <c r="A97" s="111" t="s">
        <v>21</v>
      </c>
      <c r="B97" s="6" t="s">
        <v>3</v>
      </c>
      <c r="C97" s="6" t="s">
        <v>145</v>
      </c>
      <c r="D97" s="6" t="s">
        <v>146</v>
      </c>
      <c r="E97" s="6" t="s">
        <v>147</v>
      </c>
      <c r="F97" s="6" t="s">
        <v>148</v>
      </c>
      <c r="G97" s="6" t="s">
        <v>149</v>
      </c>
      <c r="H97" s="6" t="s">
        <v>150</v>
      </c>
      <c r="I97" s="6" t="s">
        <v>151</v>
      </c>
    </row>
    <row r="98" spans="1:9" x14ac:dyDescent="0.25">
      <c r="A98" s="111"/>
      <c r="B98" s="123" t="s">
        <v>5</v>
      </c>
      <c r="C98" s="9" t="s">
        <v>10</v>
      </c>
      <c r="D98" s="56" t="s">
        <v>10</v>
      </c>
      <c r="E98" s="56" t="s">
        <v>10</v>
      </c>
      <c r="F98" s="56" t="s">
        <v>10</v>
      </c>
      <c r="G98" s="56" t="s">
        <v>10</v>
      </c>
      <c r="H98" s="56" t="s">
        <v>10</v>
      </c>
      <c r="I98" s="56" t="s">
        <v>10</v>
      </c>
    </row>
    <row r="99" spans="1:9" x14ac:dyDescent="0.25">
      <c r="A99" s="111"/>
      <c r="B99" s="124"/>
      <c r="C99" s="9" t="s">
        <v>7</v>
      </c>
      <c r="D99" s="9" t="s">
        <v>11</v>
      </c>
      <c r="E99" s="9" t="s">
        <v>11</v>
      </c>
      <c r="F99" s="9" t="s">
        <v>11</v>
      </c>
      <c r="G99" s="56" t="s">
        <v>11</v>
      </c>
      <c r="H99" s="56" t="s">
        <v>16</v>
      </c>
      <c r="I99" s="56" t="s">
        <v>16</v>
      </c>
    </row>
    <row r="100" spans="1:9" x14ac:dyDescent="0.25">
      <c r="A100" s="111"/>
      <c r="B100" s="124"/>
      <c r="C100" s="9" t="s">
        <v>11</v>
      </c>
      <c r="D100" s="56" t="s">
        <v>16</v>
      </c>
      <c r="E100" s="56" t="s">
        <v>16</v>
      </c>
      <c r="F100" s="56" t="s">
        <v>16</v>
      </c>
      <c r="G100" s="56" t="s">
        <v>16</v>
      </c>
      <c r="H100" s="9" t="s">
        <v>7</v>
      </c>
      <c r="I100" s="9" t="s">
        <v>7</v>
      </c>
    </row>
    <row r="101" spans="1:9" x14ac:dyDescent="0.25">
      <c r="A101" s="111"/>
      <c r="B101" s="124"/>
      <c r="C101" s="9"/>
      <c r="D101" s="9" t="s">
        <v>7</v>
      </c>
      <c r="E101" s="56" t="s">
        <v>14</v>
      </c>
      <c r="F101" s="56" t="s">
        <v>7</v>
      </c>
      <c r="G101" s="9" t="s">
        <v>7</v>
      </c>
      <c r="H101" s="9"/>
      <c r="I101" s="9"/>
    </row>
    <row r="102" spans="1:9" x14ac:dyDescent="0.25">
      <c r="A102" s="111"/>
      <c r="B102" s="124"/>
      <c r="C102" s="9"/>
      <c r="D102" s="9" t="s">
        <v>14</v>
      </c>
      <c r="E102" s="9" t="s">
        <v>14</v>
      </c>
      <c r="F102" s="9" t="s">
        <v>14</v>
      </c>
      <c r="G102" s="9" t="s">
        <v>14</v>
      </c>
      <c r="H102" s="9" t="s">
        <v>14</v>
      </c>
      <c r="I102" s="56" t="s">
        <v>14</v>
      </c>
    </row>
    <row r="103" spans="1:9" x14ac:dyDescent="0.25">
      <c r="A103" s="111"/>
      <c r="B103" s="125"/>
      <c r="C103" s="99"/>
      <c r="D103" s="9"/>
      <c r="E103" s="9" t="s">
        <v>6</v>
      </c>
      <c r="F103" s="9" t="s">
        <v>6</v>
      </c>
      <c r="G103" s="45" t="s">
        <v>6</v>
      </c>
      <c r="H103" s="9" t="s">
        <v>6</v>
      </c>
      <c r="I103" s="9" t="s">
        <v>6</v>
      </c>
    </row>
    <row r="104" spans="1:9" x14ac:dyDescent="0.25">
      <c r="A104" s="111"/>
      <c r="B104" s="18" t="s">
        <v>12</v>
      </c>
      <c r="C104" s="19"/>
      <c r="D104" s="55"/>
      <c r="E104" s="18" t="s">
        <v>16</v>
      </c>
      <c r="F104" s="20" t="s">
        <v>7</v>
      </c>
      <c r="G104" s="46"/>
      <c r="H104" s="19"/>
      <c r="I104" s="20" t="s">
        <v>14</v>
      </c>
    </row>
    <row r="105" spans="1:9" x14ac:dyDescent="0.25">
      <c r="A105" s="111"/>
      <c r="B105" s="18"/>
      <c r="C105" s="19"/>
      <c r="D105" s="19"/>
      <c r="E105" s="19"/>
      <c r="F105" s="19"/>
      <c r="G105" s="47"/>
      <c r="H105" s="19"/>
      <c r="I105" s="19"/>
    </row>
    <row r="106" spans="1:9" x14ac:dyDescent="0.25">
      <c r="A106" s="111"/>
      <c r="B106" s="22" t="s">
        <v>15</v>
      </c>
      <c r="C106" s="19"/>
      <c r="D106" s="19"/>
      <c r="E106" s="23"/>
      <c r="F106" s="19"/>
      <c r="G106" s="47"/>
      <c r="H106" s="23"/>
      <c r="I106" s="19"/>
    </row>
    <row r="107" spans="1:9" x14ac:dyDescent="0.25">
      <c r="A107" s="111"/>
      <c r="B107" s="25" t="s">
        <v>17</v>
      </c>
      <c r="C107" s="19"/>
      <c r="D107" s="87" t="s">
        <v>10</v>
      </c>
      <c r="E107" s="87" t="s">
        <v>10</v>
      </c>
      <c r="F107" s="87" t="s">
        <v>10</v>
      </c>
      <c r="G107" s="87" t="s">
        <v>10</v>
      </c>
      <c r="H107" s="87" t="s">
        <v>10</v>
      </c>
      <c r="I107" s="87" t="s">
        <v>10</v>
      </c>
    </row>
    <row r="108" spans="1:9" x14ac:dyDescent="0.25">
      <c r="A108" s="111"/>
      <c r="B108" s="123" t="s">
        <v>18</v>
      </c>
      <c r="C108" s="9" t="s">
        <v>9</v>
      </c>
      <c r="D108" s="9" t="s">
        <v>9</v>
      </c>
      <c r="E108" s="9" t="s">
        <v>9</v>
      </c>
      <c r="F108" s="9" t="s">
        <v>9</v>
      </c>
      <c r="G108" s="45" t="s">
        <v>9</v>
      </c>
      <c r="H108" s="9" t="s">
        <v>9</v>
      </c>
      <c r="I108" s="90" t="s">
        <v>9</v>
      </c>
    </row>
    <row r="109" spans="1:9" x14ac:dyDescent="0.25">
      <c r="A109" s="111"/>
      <c r="B109" s="124"/>
      <c r="C109" s="56" t="s">
        <v>8</v>
      </c>
      <c r="D109" s="9" t="s">
        <v>8</v>
      </c>
      <c r="E109" s="9" t="s">
        <v>8</v>
      </c>
      <c r="F109" s="9" t="s">
        <v>8</v>
      </c>
      <c r="G109" s="9" t="s">
        <v>8</v>
      </c>
      <c r="H109" s="9" t="s">
        <v>8</v>
      </c>
      <c r="I109" s="9" t="s">
        <v>8</v>
      </c>
    </row>
    <row r="110" spans="1:9" x14ac:dyDescent="0.25">
      <c r="A110" s="111"/>
      <c r="B110" s="124"/>
      <c r="C110" s="9" t="s">
        <v>16</v>
      </c>
      <c r="D110" s="56" t="s">
        <v>14</v>
      </c>
      <c r="E110" s="9" t="s">
        <v>7</v>
      </c>
      <c r="F110" s="56" t="s">
        <v>14</v>
      </c>
      <c r="G110" s="56" t="s">
        <v>14</v>
      </c>
      <c r="H110" s="56" t="s">
        <v>14</v>
      </c>
      <c r="I110" s="56" t="s">
        <v>14</v>
      </c>
    </row>
    <row r="111" spans="1:9" x14ac:dyDescent="0.25">
      <c r="A111" s="111"/>
      <c r="B111" s="124"/>
      <c r="C111" s="56" t="s">
        <v>16</v>
      </c>
      <c r="D111" s="34" t="s">
        <v>16</v>
      </c>
      <c r="E111" s="56" t="s">
        <v>16</v>
      </c>
      <c r="F111" s="9" t="s">
        <v>16</v>
      </c>
      <c r="G111" s="9" t="s">
        <v>16</v>
      </c>
      <c r="H111" s="17" t="s">
        <v>11</v>
      </c>
      <c r="I111" s="62" t="s">
        <v>11</v>
      </c>
    </row>
    <row r="112" spans="1:9" x14ac:dyDescent="0.25">
      <c r="A112" s="111"/>
      <c r="B112" s="125"/>
      <c r="C112" s="9" t="s">
        <v>6</v>
      </c>
      <c r="D112" s="9"/>
      <c r="E112" s="9"/>
      <c r="F112" s="9"/>
      <c r="G112" s="45" t="s">
        <v>11</v>
      </c>
      <c r="H112" s="9" t="s">
        <v>16</v>
      </c>
      <c r="I112" s="9" t="s">
        <v>16</v>
      </c>
    </row>
    <row r="113" spans="1:9" x14ac:dyDescent="0.25">
      <c r="A113" s="111"/>
      <c r="B113" s="117" t="s">
        <v>12</v>
      </c>
      <c r="C113" s="18" t="s">
        <v>8</v>
      </c>
      <c r="D113" s="18" t="s">
        <v>6</v>
      </c>
      <c r="E113" s="27"/>
      <c r="F113" s="27"/>
      <c r="G113" s="48"/>
      <c r="H113" s="29"/>
      <c r="I113" s="20" t="s">
        <v>9</v>
      </c>
    </row>
    <row r="114" spans="1:9" x14ac:dyDescent="0.25">
      <c r="A114" s="111"/>
      <c r="B114" s="119"/>
      <c r="C114" s="28"/>
      <c r="D114" s="28"/>
      <c r="E114" s="27"/>
      <c r="F114" s="27"/>
      <c r="G114" s="48"/>
      <c r="H114" s="29"/>
      <c r="I114" s="20" t="s">
        <v>11</v>
      </c>
    </row>
    <row r="115" spans="1:9" x14ac:dyDescent="0.25">
      <c r="A115" s="111"/>
      <c r="B115" s="118"/>
      <c r="C115" s="28"/>
      <c r="D115" s="27"/>
      <c r="E115" s="27"/>
      <c r="F115" s="27"/>
      <c r="G115" s="48"/>
      <c r="H115" s="47"/>
      <c r="I115" s="19"/>
    </row>
    <row r="116" spans="1:9" x14ac:dyDescent="0.25">
      <c r="A116" s="111"/>
      <c r="B116" s="120" t="s">
        <v>15</v>
      </c>
      <c r="C116" s="19"/>
      <c r="D116" s="30"/>
      <c r="E116" s="27"/>
      <c r="F116" s="27"/>
      <c r="G116" s="98"/>
      <c r="H116" s="47"/>
      <c r="I116" s="19"/>
    </row>
    <row r="117" spans="1:9" x14ac:dyDescent="0.25">
      <c r="A117" s="111"/>
      <c r="B117" s="121"/>
      <c r="C117" s="19"/>
      <c r="D117" s="30"/>
      <c r="E117" s="27"/>
      <c r="F117" s="19"/>
      <c r="G117" s="49"/>
      <c r="H117" s="27"/>
      <c r="I117" s="33"/>
    </row>
    <row r="118" spans="1:9" x14ac:dyDescent="0.25">
      <c r="A118" s="88"/>
      <c r="B118" s="25" t="s">
        <v>17</v>
      </c>
      <c r="C118" s="19"/>
      <c r="D118" s="30"/>
      <c r="E118" s="27"/>
      <c r="F118" s="19"/>
      <c r="G118" s="49"/>
      <c r="H118" s="27"/>
      <c r="I118" s="33"/>
    </row>
    <row r="119" spans="1:9" x14ac:dyDescent="0.25">
      <c r="C119" s="15">
        <f>COUNTA(C98:C103,C108:C112)</f>
        <v>8</v>
      </c>
      <c r="D119" s="15">
        <f>COUNTA(D98:D103,D108:D112)</f>
        <v>9</v>
      </c>
      <c r="E119" s="15">
        <f>COUNTA(E98:E103,E108:E112)</f>
        <v>10</v>
      </c>
      <c r="F119" s="15">
        <f>COUNTA(F98:F103,F108:F112)</f>
        <v>10</v>
      </c>
      <c r="G119" s="15">
        <f>COUNTA(G98:G103,G108:G112)</f>
        <v>11</v>
      </c>
      <c r="H119" s="15">
        <f>COUNTA(H98:H103,H108:H112)</f>
        <v>10</v>
      </c>
      <c r="I119" s="15">
        <f>COUNTA(I98:I103,I108:I112)</f>
        <v>10</v>
      </c>
    </row>
    <row r="120" spans="1:9" ht="15.95" customHeight="1" x14ac:dyDescent="0.25">
      <c r="A120" s="111" t="s">
        <v>22</v>
      </c>
      <c r="B120" s="6" t="s">
        <v>3</v>
      </c>
      <c r="C120" s="6" t="s">
        <v>152</v>
      </c>
      <c r="D120" s="6" t="s">
        <v>153</v>
      </c>
      <c r="E120" s="6" t="s">
        <v>154</v>
      </c>
      <c r="F120" s="6" t="s">
        <v>155</v>
      </c>
      <c r="G120" s="6" t="s">
        <v>156</v>
      </c>
      <c r="H120" s="6" t="s">
        <v>157</v>
      </c>
      <c r="I120" s="6" t="s">
        <v>158</v>
      </c>
    </row>
    <row r="121" spans="1:9" x14ac:dyDescent="0.25">
      <c r="A121" s="111"/>
      <c r="B121" s="123" t="s">
        <v>5</v>
      </c>
      <c r="C121" s="56" t="s">
        <v>10</v>
      </c>
      <c r="D121" s="56" t="s">
        <v>10</v>
      </c>
      <c r="E121" s="56" t="s">
        <v>10</v>
      </c>
      <c r="F121" s="56" t="s">
        <v>10</v>
      </c>
      <c r="G121" s="56" t="s">
        <v>10</v>
      </c>
      <c r="H121" s="56" t="s">
        <v>10</v>
      </c>
      <c r="I121" s="56" t="s">
        <v>10</v>
      </c>
    </row>
    <row r="122" spans="1:9" x14ac:dyDescent="0.25">
      <c r="A122" s="111"/>
      <c r="B122" s="124"/>
      <c r="C122" s="9" t="s">
        <v>7</v>
      </c>
      <c r="D122" s="9" t="s">
        <v>11</v>
      </c>
      <c r="E122" s="9" t="s">
        <v>11</v>
      </c>
      <c r="F122" s="9" t="s">
        <v>11</v>
      </c>
      <c r="G122" s="9" t="s">
        <v>11</v>
      </c>
      <c r="H122" s="56" t="s">
        <v>16</v>
      </c>
      <c r="I122" s="56" t="s">
        <v>16</v>
      </c>
    </row>
    <row r="123" spans="1:9" x14ac:dyDescent="0.25">
      <c r="A123" s="111"/>
      <c r="B123" s="124"/>
      <c r="C123" s="9" t="s">
        <v>11</v>
      </c>
      <c r="D123" s="56" t="s">
        <v>16</v>
      </c>
      <c r="E123" s="56" t="s">
        <v>16</v>
      </c>
      <c r="F123" s="56" t="s">
        <v>16</v>
      </c>
      <c r="G123" s="56" t="s">
        <v>16</v>
      </c>
      <c r="H123" s="56" t="s">
        <v>7</v>
      </c>
      <c r="I123" s="9" t="s">
        <v>7</v>
      </c>
    </row>
    <row r="124" spans="1:9" x14ac:dyDescent="0.25">
      <c r="A124" s="111"/>
      <c r="B124" s="124"/>
      <c r="C124" s="9"/>
      <c r="D124" s="9" t="s">
        <v>7</v>
      </c>
      <c r="E124" s="56" t="s">
        <v>14</v>
      </c>
      <c r="F124" s="56" t="s">
        <v>7</v>
      </c>
      <c r="G124" s="56" t="s">
        <v>7</v>
      </c>
      <c r="H124" s="9" t="s">
        <v>11</v>
      </c>
      <c r="I124" s="9"/>
    </row>
    <row r="125" spans="1:9" x14ac:dyDescent="0.25">
      <c r="A125" s="111"/>
      <c r="B125" s="124"/>
      <c r="C125" s="9" t="s">
        <v>14</v>
      </c>
      <c r="D125" s="9" t="s">
        <v>14</v>
      </c>
      <c r="E125" s="9" t="s">
        <v>14</v>
      </c>
      <c r="F125" s="9" t="s">
        <v>14</v>
      </c>
      <c r="G125" s="9" t="s">
        <v>14</v>
      </c>
      <c r="H125" s="9" t="s">
        <v>14</v>
      </c>
      <c r="I125" s="54" t="s">
        <v>14</v>
      </c>
    </row>
    <row r="126" spans="1:9" x14ac:dyDescent="0.25">
      <c r="A126" s="111"/>
      <c r="B126" s="125"/>
      <c r="C126" s="9"/>
      <c r="D126" s="9"/>
      <c r="E126" s="9" t="s">
        <v>6</v>
      </c>
      <c r="F126" s="9" t="s">
        <v>6</v>
      </c>
      <c r="G126" s="45" t="s">
        <v>6</v>
      </c>
      <c r="H126" s="9" t="s">
        <v>6</v>
      </c>
      <c r="I126" s="9" t="s">
        <v>6</v>
      </c>
    </row>
    <row r="127" spans="1:9" x14ac:dyDescent="0.25">
      <c r="A127" s="111"/>
      <c r="B127" s="18" t="s">
        <v>12</v>
      </c>
      <c r="C127" s="19"/>
      <c r="D127" s="55"/>
      <c r="E127" s="20" t="s">
        <v>16</v>
      </c>
      <c r="F127" s="20" t="s">
        <v>7</v>
      </c>
      <c r="G127" s="46"/>
      <c r="H127" s="19"/>
      <c r="I127" s="20" t="s">
        <v>14</v>
      </c>
    </row>
    <row r="128" spans="1:9" x14ac:dyDescent="0.25">
      <c r="A128" s="111"/>
      <c r="B128" s="18"/>
      <c r="C128" s="19"/>
      <c r="D128" s="19"/>
      <c r="E128" s="19"/>
      <c r="F128" s="19"/>
      <c r="G128" s="47"/>
      <c r="H128" s="19"/>
      <c r="I128" s="19"/>
    </row>
    <row r="129" spans="1:9" x14ac:dyDescent="0.25">
      <c r="A129" s="111"/>
      <c r="B129" s="22" t="s">
        <v>15</v>
      </c>
      <c r="C129" s="19"/>
      <c r="D129" s="19"/>
      <c r="E129" s="23"/>
      <c r="F129" s="19"/>
      <c r="G129" s="47"/>
      <c r="H129" s="23"/>
      <c r="I129" s="19"/>
    </row>
    <row r="130" spans="1:9" x14ac:dyDescent="0.25">
      <c r="A130" s="111"/>
      <c r="B130" s="25" t="s">
        <v>17</v>
      </c>
      <c r="C130" s="87" t="s">
        <v>10</v>
      </c>
      <c r="D130" s="87" t="s">
        <v>10</v>
      </c>
      <c r="E130" s="87" t="s">
        <v>10</v>
      </c>
      <c r="F130" s="87" t="s">
        <v>10</v>
      </c>
      <c r="G130" s="87" t="s">
        <v>10</v>
      </c>
      <c r="H130" s="87" t="s">
        <v>10</v>
      </c>
      <c r="I130" s="87" t="s">
        <v>10</v>
      </c>
    </row>
    <row r="131" spans="1:9" x14ac:dyDescent="0.25">
      <c r="A131" s="111"/>
      <c r="B131" s="123" t="s">
        <v>18</v>
      </c>
      <c r="C131" s="9" t="s">
        <v>9</v>
      </c>
      <c r="D131" s="9" t="s">
        <v>9</v>
      </c>
      <c r="E131" s="9" t="s">
        <v>9</v>
      </c>
      <c r="F131" s="9" t="s">
        <v>9</v>
      </c>
      <c r="G131" s="45" t="s">
        <v>9</v>
      </c>
      <c r="H131" s="9" t="s">
        <v>9</v>
      </c>
      <c r="I131" s="90" t="s">
        <v>9</v>
      </c>
    </row>
    <row r="132" spans="1:9" x14ac:dyDescent="0.25">
      <c r="A132" s="111"/>
      <c r="B132" s="124"/>
      <c r="C132" s="56" t="s">
        <v>8</v>
      </c>
      <c r="D132" s="9" t="s">
        <v>8</v>
      </c>
      <c r="E132" s="9" t="s">
        <v>8</v>
      </c>
      <c r="F132" s="9" t="s">
        <v>8</v>
      </c>
      <c r="G132" s="9" t="s">
        <v>8</v>
      </c>
      <c r="H132" s="9" t="s">
        <v>8</v>
      </c>
      <c r="I132" s="9" t="s">
        <v>8</v>
      </c>
    </row>
    <row r="133" spans="1:9" x14ac:dyDescent="0.25">
      <c r="A133" s="111"/>
      <c r="B133" s="124"/>
      <c r="C133" s="56" t="s">
        <v>14</v>
      </c>
      <c r="D133" s="56" t="s">
        <v>14</v>
      </c>
      <c r="E133" s="9" t="s">
        <v>7</v>
      </c>
      <c r="F133" s="56" t="s">
        <v>14</v>
      </c>
      <c r="G133" s="56" t="s">
        <v>14</v>
      </c>
      <c r="H133" s="56" t="s">
        <v>14</v>
      </c>
      <c r="I133" s="56" t="s">
        <v>14</v>
      </c>
    </row>
    <row r="134" spans="1:9" x14ac:dyDescent="0.25">
      <c r="A134" s="111"/>
      <c r="B134" s="124"/>
      <c r="C134" s="9" t="s">
        <v>16</v>
      </c>
      <c r="D134" s="9" t="s">
        <v>16</v>
      </c>
      <c r="E134" s="9"/>
      <c r="F134" s="9" t="s">
        <v>16</v>
      </c>
      <c r="G134" s="9" t="s">
        <v>16</v>
      </c>
      <c r="H134" s="62" t="s">
        <v>11</v>
      </c>
      <c r="I134" s="62" t="s">
        <v>11</v>
      </c>
    </row>
    <row r="135" spans="1:9" x14ac:dyDescent="0.25">
      <c r="A135" s="111"/>
      <c r="B135" s="125"/>
      <c r="C135" s="9" t="s">
        <v>6</v>
      </c>
      <c r="D135" s="9"/>
      <c r="E135" s="9"/>
      <c r="F135" s="9"/>
      <c r="G135" s="56" t="s">
        <v>11</v>
      </c>
      <c r="H135" s="9" t="s">
        <v>16</v>
      </c>
      <c r="I135" s="9" t="s">
        <v>16</v>
      </c>
    </row>
    <row r="136" spans="1:9" x14ac:dyDescent="0.25">
      <c r="A136" s="111"/>
      <c r="B136" s="100"/>
      <c r="C136" s="9"/>
      <c r="D136" s="9"/>
      <c r="E136" s="9"/>
      <c r="F136" s="9"/>
      <c r="G136" s="167" t="s">
        <v>162</v>
      </c>
      <c r="H136" s="17" t="s">
        <v>7</v>
      </c>
      <c r="I136" s="9"/>
    </row>
    <row r="137" spans="1:9" x14ac:dyDescent="0.25">
      <c r="A137" s="111"/>
      <c r="B137" s="117" t="s">
        <v>12</v>
      </c>
      <c r="C137" s="18" t="s">
        <v>8</v>
      </c>
      <c r="D137" s="18" t="s">
        <v>6</v>
      </c>
      <c r="E137" s="27"/>
      <c r="F137" s="27"/>
      <c r="G137" s="48"/>
      <c r="H137" s="29"/>
      <c r="I137" s="20" t="s">
        <v>9</v>
      </c>
    </row>
    <row r="138" spans="1:9" x14ac:dyDescent="0.25">
      <c r="A138" s="111"/>
      <c r="B138" s="119"/>
      <c r="C138" s="28"/>
      <c r="D138" s="28"/>
      <c r="E138" s="27"/>
      <c r="F138" s="27"/>
      <c r="G138" s="48"/>
      <c r="H138" s="29"/>
      <c r="I138" s="20" t="s">
        <v>11</v>
      </c>
    </row>
    <row r="139" spans="1:9" x14ac:dyDescent="0.25">
      <c r="A139" s="111"/>
      <c r="B139" s="118"/>
      <c r="C139" s="28"/>
      <c r="D139" s="27"/>
      <c r="E139" s="27"/>
      <c r="F139" s="27"/>
      <c r="G139" s="48"/>
      <c r="H139" s="47"/>
      <c r="I139" s="19"/>
    </row>
    <row r="140" spans="1:9" x14ac:dyDescent="0.25">
      <c r="A140" s="111"/>
      <c r="B140" s="120" t="s">
        <v>15</v>
      </c>
      <c r="C140" s="19"/>
      <c r="D140" s="30"/>
      <c r="E140" s="27"/>
      <c r="F140" s="27"/>
      <c r="G140" s="98"/>
      <c r="H140" s="47"/>
      <c r="I140" s="19"/>
    </row>
    <row r="141" spans="1:9" x14ac:dyDescent="0.25">
      <c r="A141" s="111"/>
      <c r="B141" s="121"/>
      <c r="C141" s="19"/>
      <c r="D141" s="30"/>
      <c r="E141" s="27"/>
      <c r="F141" s="19"/>
      <c r="G141" s="49"/>
      <c r="H141" s="27"/>
      <c r="I141" s="33"/>
    </row>
    <row r="142" spans="1:9" x14ac:dyDescent="0.25">
      <c r="A142" s="88"/>
      <c r="B142" s="25" t="s">
        <v>17</v>
      </c>
      <c r="C142" s="19"/>
      <c r="D142" s="30"/>
      <c r="E142" s="27"/>
      <c r="F142" s="19"/>
      <c r="G142" s="49"/>
      <c r="H142" s="27"/>
      <c r="I142" s="33"/>
    </row>
    <row r="143" spans="1:9" x14ac:dyDescent="0.25">
      <c r="C143" s="15">
        <f t="shared" ref="C143" si="3">COUNTA(C121:C126,C131:C135)</f>
        <v>9</v>
      </c>
      <c r="D143" s="15">
        <f>COUNTA(D121:D126,D131:D135)</f>
        <v>9</v>
      </c>
      <c r="E143" s="15">
        <f t="shared" ref="E143:I143" si="4">COUNTA(E121:E126,E131:E135)</f>
        <v>9</v>
      </c>
      <c r="F143" s="15">
        <f t="shared" si="4"/>
        <v>10</v>
      </c>
      <c r="G143" s="15">
        <f t="shared" si="4"/>
        <v>11</v>
      </c>
      <c r="H143" s="15">
        <f t="shared" si="4"/>
        <v>11</v>
      </c>
      <c r="I143" s="15">
        <f t="shared" si="4"/>
        <v>10</v>
      </c>
    </row>
    <row r="146" spans="2:16" x14ac:dyDescent="0.25">
      <c r="D146" s="2"/>
      <c r="E146" s="2"/>
    </row>
    <row r="147" spans="2:16" x14ac:dyDescent="0.25">
      <c r="C147" s="122" t="s">
        <v>27</v>
      </c>
      <c r="D147" s="122"/>
      <c r="E147" s="122"/>
      <c r="F147" s="122"/>
      <c r="G147" s="122"/>
      <c r="I147" s="122" t="s">
        <v>28</v>
      </c>
      <c r="J147" s="122"/>
      <c r="K147" s="122"/>
      <c r="L147" s="122"/>
      <c r="M147" s="122"/>
    </row>
    <row r="148" spans="2:16" x14ac:dyDescent="0.25">
      <c r="D148" s="2" t="s">
        <v>29</v>
      </c>
      <c r="E148" s="2" t="s">
        <v>30</v>
      </c>
      <c r="F148" t="s">
        <v>31</v>
      </c>
      <c r="G148" t="s">
        <v>32</v>
      </c>
      <c r="I148" s="2" t="s">
        <v>29</v>
      </c>
      <c r="J148" s="2" t="s">
        <v>30</v>
      </c>
      <c r="K148" t="s">
        <v>31</v>
      </c>
      <c r="L148" t="s">
        <v>32</v>
      </c>
      <c r="M148" s="2"/>
      <c r="N148" s="2" t="s">
        <v>33</v>
      </c>
      <c r="O148" s="2" t="s">
        <v>34</v>
      </c>
    </row>
    <row r="149" spans="2:16" x14ac:dyDescent="0.25">
      <c r="B149" t="s">
        <v>4</v>
      </c>
      <c r="C149" s="38" t="s">
        <v>16</v>
      </c>
      <c r="D149" s="39">
        <f>COUNTIF($C$9:$I$13,"Mario")-COUNTIF($C$14:$I$19,"Mario")+COUNTIF($C$33:$I$37,"Mario")-COUNTIF($C$38:$I$42,"Mario")+COUNTIF($C$55:$E$59,"Mario")-COUNTIF($C$60:$E$64,"Mario")</f>
        <v>6</v>
      </c>
      <c r="E149" s="39">
        <f>COUNTIF($C$20:$I$24,"Mario")-COUNTIF($C$25:$I$30,"Mario")+COUNTIF($C$43:$I$47,"Mario")-COUNTIF($C$48:$I$52,"Mario")+COUNTIF($C$65:$E$69,"Mario")-COUNTIF($C$71:$E$74,"Mario")</f>
        <v>5</v>
      </c>
      <c r="F149" s="39">
        <f>+COUNTIF($C$14:$I$19,"Mario")+COUNTIF($C$38:$I$42,"Mario")+COUNTIF($C$60:$E$64,"Mario")+COUNTIF($C$25:$I$30,"Mario")+COUNTIF($C$48:$I$52,"Mario")+COUNTIF($C$71:$E$74,"Mario")</f>
        <v>4</v>
      </c>
      <c r="G149" s="40">
        <f>+F149+E149+D149</f>
        <v>15</v>
      </c>
      <c r="H149" s="38" t="s">
        <v>16</v>
      </c>
      <c r="I149" s="39">
        <f>COUNTIF($C$55:$I$59,"Mario")-COUNTIF($C$60:$I$64,"Mario")+COUNTIF($C$77:$I$81,"Mario")-COUNTIF($C$82:$I$85,"Mario")+COUNTIF($C$98:$D$103,"Mario")-COUNTIF($C$104:$D$107,"Mario")</f>
        <v>5</v>
      </c>
      <c r="J149" s="39">
        <f>COUNTIF($C$65:$I$69,"Mario")-COUNTIF($C$71:$I$74,"Mario")+COUNTIF($C$86:$I$90,"Mario")-COUNTIF($C$91:$I$95,"Mario")+COUNTIF($C$108:$D$112,"Mario")-COUNTIF($C$113:$D$118,"Mario")</f>
        <v>16</v>
      </c>
      <c r="K149" s="39">
        <f>COUNTIF($C$60:$I$64,"Mario")+COUNTIF($C$82:$I$85,"Mario")+COUNTIF($C$104:$D$107,"Mario")+COUNTIF($C$71:$I$74,"Mario")+COUNTIF($C$91:$I$95,"Mario")+COUNTIF($C$113:$D$118,"Mario")</f>
        <v>2</v>
      </c>
      <c r="L149" s="40">
        <f t="shared" ref="L149:L156" si="5">+K149+J149+I149</f>
        <v>23</v>
      </c>
      <c r="N149">
        <v>3</v>
      </c>
    </row>
    <row r="150" spans="2:16" x14ac:dyDescent="0.25">
      <c r="C150" t="s">
        <v>7</v>
      </c>
      <c r="D150" s="39">
        <f>COUNTIF($C$9:$I$13,"Edwin")-COUNTIF($C$14:$I$19,"Edwin")+COUNTIF($C$33:$I$37,"Edwin")-COUNTIF($C$38:$I$42,"Edwin")+COUNTIF($C$55:$E$59,"Edwin")-COUNTIF($C$60:$E$64,"Edwin")</f>
        <v>9</v>
      </c>
      <c r="E150" s="39">
        <f>COUNTIF($C$20:$I$24,"Edwin")-COUNTIF($C$25:$I$30,"Edwin")+COUNTIF($C$43:$I$47,"Edwin")-COUNTIF($C$48:$I$52,"Edwin")+COUNTIF($C$65:$E$69,"Edwin")-COUNTIF($C$71:$E$74,"Edwin")</f>
        <v>6</v>
      </c>
      <c r="F150" s="39">
        <f>+COUNTIF($C$14:$I$19,"Edwin")+COUNTIF($C$38:$I$42,"Edwin")+COUNTIF($C$60:$E$64,"Edwin")+COUNTIF($C$25:$I$30,"Edwin")+COUNTIF($C$48:$I$52,"Edwin")+COUNTIF($C$71:$E$74,"Edwin")</f>
        <v>2</v>
      </c>
      <c r="G150" s="40">
        <f>+F150+E150+D150</f>
        <v>17</v>
      </c>
      <c r="H150" t="s">
        <v>7</v>
      </c>
      <c r="I150" s="39">
        <f>COUNTIF($C$55:$I$59,"Edwin")-COUNTIF($C$60:$I$64,"Edwin")+COUNTIF($C$77:$I$81,"Edwin")-COUNTIF($C$82:$I$85,"Edwin")+COUNTIF($C$98:$D$103,"Edwin")-COUNTIF($C$104:$D$107,"Edwin")</f>
        <v>11</v>
      </c>
      <c r="J150" s="39">
        <f>COUNTIF($C$65:$I$69,"Edwin")-COUNTIF($C$71:$I$74,"Edwin")+COUNTIF($C$86:$I$90,"Edwin")-COUNTIF($C$91:$I$95,"Edwin")+COUNTIF($C$108:$D$112,"Edwin")-COUNTIF($C$113:$D$118,"Edwin")</f>
        <v>3</v>
      </c>
      <c r="K150" s="39">
        <f>COUNTIF($C$60:$I$64,"Edwin")+COUNTIF($C$82:$I$85,"Edwin")+COUNTIF($C$104:$D$107,"Edwin")+COUNTIF($C$71:$I$74,"Edwin")+COUNTIF($C$91:$I$95,"Edwin")+COUNTIF($C$113:$D$118,"Edwin")</f>
        <v>2</v>
      </c>
      <c r="L150" s="41">
        <f t="shared" si="5"/>
        <v>16</v>
      </c>
      <c r="N150">
        <v>3</v>
      </c>
    </row>
    <row r="151" spans="2:16" x14ac:dyDescent="0.25">
      <c r="C151" s="38" t="s">
        <v>10</v>
      </c>
      <c r="D151" s="39">
        <f>COUNTIF($C$9:$I$13,"Rene")-COUNTIF($C$14:$I$19,"Rene")+COUNTIF($C$33:$I$37,"Rene")-COUNTIF($C$38:$I$42,"Rene")+COUNTIF($C$55:$E$59,"Rene")-COUNTIF($C$60:$E$64,"Rene")</f>
        <v>6</v>
      </c>
      <c r="E151" s="39">
        <f>COUNTIF($C$20:$I$24,"Rene")-COUNTIF($C$25:$I$30,"Rene")+COUNTIF($C$43:$I$47,"Rene")-COUNTIF($C$48:$I$52,"Rene")+COUNTIF($C$65:$E$69,"Rene")-COUNTIF($C$71:$E$74,"Rene")</f>
        <v>6</v>
      </c>
      <c r="F151" s="39">
        <f>+COUNTIF($C$14:$I$19,"Rene")+COUNTIF($C$38:$I$42,"Rene")+COUNTIF($C$60:$E$64,"Rene")+COUNTIF($C$25:$I$30,"Rene")+COUNTIF($C$48:$I$52,"Rene")+COUNTIF($C$71:$E$74,"Rene")</f>
        <v>1</v>
      </c>
      <c r="G151" s="40">
        <f>+F151+E151+D151</f>
        <v>13</v>
      </c>
      <c r="H151" s="38" t="s">
        <v>10</v>
      </c>
      <c r="I151" s="39">
        <f>COUNTIF($C$55:$I$59,"Rene")-COUNTIF($C$60:$I$64,"Rene")+COUNTIF($C$77:$I$81,"Rene")-COUNTIF($C$82:$I$85,"Rene")+COUNTIF($C$98:$D$103,"Rene")-COUNTIF($C$104:$D$107,"Rene")</f>
        <v>13</v>
      </c>
      <c r="J151" s="39">
        <f>COUNTIF($C$65:$I$69,"Rene")-COUNTIF($C$71:$I$74,"Rene")+COUNTIF($C$86:$I$90,"Rene")-COUNTIF($C$91:$I$95,"Rene")+COUNTIF($C$108:$D$112,"Rene")-COUNTIF($C$113:$D$118,"Rene")</f>
        <v>0</v>
      </c>
      <c r="K151" s="39">
        <f>COUNTIF($C$60:$I$64,"Rene")+COUNTIF($C$82:$I$85,"Rene")+COUNTIF($C$104:$D$107,"Rene")+COUNTIF($C$71:$I$74,"Rene")+COUNTIF($C$91:$I$95,"Rene")+COUNTIF($C$113:$D$118,"Rene")</f>
        <v>3</v>
      </c>
      <c r="L151" s="40">
        <f t="shared" si="5"/>
        <v>16</v>
      </c>
      <c r="N151">
        <v>2</v>
      </c>
      <c r="O151">
        <v>1</v>
      </c>
      <c r="P151" t="s">
        <v>35</v>
      </c>
    </row>
    <row r="152" spans="2:16" x14ac:dyDescent="0.25">
      <c r="C152" t="s">
        <v>9</v>
      </c>
      <c r="D152" s="39">
        <f>COUNTIF($C$9:$I$13,"Luis D")-COUNTIF($C$14:$I$19,"Luis D")+COUNTIF($C$33:$I$37,"Luis D")-COUNTIF($C$38:$I$42,"Luis D")+COUNTIF($C$55:$E$59,"Luis D")-COUNTIF($C$60:$E$64,"Luis D")</f>
        <v>9</v>
      </c>
      <c r="E152" s="39">
        <f>COUNTIF($C$20:$I$24,"Luis D")-COUNTIF($C$25:$I$30,"Luis D")+COUNTIF($C$43:$I$47,"Luis D")-COUNTIF($C$48:$I$52,"Luis D")+COUNTIF($C$65:$E$69,"Luis D")-COUNTIF($C$71:$E$74,"Luis D")</f>
        <v>3</v>
      </c>
      <c r="F152" s="39">
        <f>+COUNTIF($C$14:$I$19,"Luis D")+COUNTIF($C$38:$I$42,"Luis D")+COUNTIF($C$60:$E$64,"Luis D")+COUNTIF($C$25:$I$30,"Luis D")+COUNTIF($C$48:$I$52,"Luis D")+COUNTIF($C$71:$E$74,"Luis D")</f>
        <v>1</v>
      </c>
      <c r="G152" s="40">
        <f>+F152+E152+D152</f>
        <v>13</v>
      </c>
      <c r="H152" t="s">
        <v>9</v>
      </c>
      <c r="I152" s="39">
        <f>COUNTIF($C$55:$I$59,"Luis D")-COUNTIF($C$60:$I$64,"Luis D")+COUNTIF($C$77:$I$81,"Luis D")-COUNTIF($C$82:$I$85,"Luis D")+COUNTIF($C$98:$D$103,"Luis D")-COUNTIF($C$104:$D$107,"Luis D")</f>
        <v>0</v>
      </c>
      <c r="J152" s="39">
        <f>COUNTIF($C$65:$I$69,"Luis D")-COUNTIF($C$71:$I$74,"Luis D")+COUNTIF($C$86:$I$90,"Luis D")-COUNTIF($C$91:$I$95,"Luis D")+COUNTIF($C$108:$D$112,"Luis D")-COUNTIF($C$113:$D$118,"Luis D")</f>
        <v>14</v>
      </c>
      <c r="K152" s="39">
        <f>COUNTIF($C$60:$I$64,"Luis D")+COUNTIF($C$82:$I$85,"Luis D")+COUNTIF($C$104:$D$107,"Luis D")+COUNTIF($C$71:$I$74,"Luis D")+COUNTIF($C$91:$I$95,"Luis D")+COUNTIF($C$113:$D$118,"Luis D")</f>
        <v>2</v>
      </c>
      <c r="L152" s="41">
        <f t="shared" si="5"/>
        <v>16</v>
      </c>
      <c r="N152">
        <v>3</v>
      </c>
    </row>
    <row r="153" spans="2:16" x14ac:dyDescent="0.25">
      <c r="C153" s="38" t="s">
        <v>11</v>
      </c>
      <c r="D153" s="39">
        <f>COUNTIF($C$9:$I$13,"Julio")-COUNTIF($C$14:$I$19,"Julio")+COUNTIF($C$33:$I$37,"Julio")-COUNTIF($C$38:$I$42,"Julio")+COUNTIF($C$55:$E$59,"Julio")-COUNTIF($C$60:$E$64,"Julio")</f>
        <v>3</v>
      </c>
      <c r="E153" s="39">
        <f>COUNTIF($C$20:$I$24,"Julio")-COUNTIF($C$25:$I$30,"Julio")+COUNTIF($C$43:$I$47,"Julio")-COUNTIF($C$48:$I$52,"Julio")+COUNTIF($C$65:$E$69,"Julio")-COUNTIF($C$71:$E$74,"Julio")</f>
        <v>8</v>
      </c>
      <c r="F153" s="39">
        <f>+COUNTIF($C$14:$I$19,"Julio")+COUNTIF($C$38:$I$42,"Julio")+COUNTIF($C$60:$E$64,"Julio")+COUNTIF($C$25:$I$30,"Julio")+COUNTIF($C$48:$I$52,"Julio")+COUNTIF($C$71:$E$74,"Julio")</f>
        <v>2</v>
      </c>
      <c r="G153" s="40">
        <f t="shared" ref="G153:G154" si="6">+F153+E153+D153</f>
        <v>13</v>
      </c>
      <c r="H153" s="38" t="s">
        <v>11</v>
      </c>
      <c r="I153" s="39">
        <f>COUNTIF($C$55:$I$59,"Julio")-COUNTIF($C$60:$I$64,"Julio")+COUNTIF($C$77:$I$81,"Julio")-COUNTIF($C$82:$I$85,"Julio")+COUNTIF($C$98:$D$103,"Julio")-COUNTIF($C$104:$D$107,"Julio")</f>
        <v>15</v>
      </c>
      <c r="J153" s="39">
        <f>COUNTIF($C$65:$I$69,"Julio")-COUNTIF($C$71:$I$74,"Julio")+COUNTIF($C$86:$I$90,"Julio")-COUNTIF($C$91:$I$95,"Julio")+COUNTIF($C$108:$D$112,"Julio")-COUNTIF($C$113:$D$118,"Julio")</f>
        <v>4</v>
      </c>
      <c r="K153" s="39">
        <f>COUNTIF($C$60:$I$64,"Julio")+COUNTIF($C$82:$I$85,"Julio")+COUNTIF($C$104:$D$107,"Julio")+COUNTIF($C$71:$I$74,"Julio")+COUNTIF($C$91:$I$95,"Julio")+COUNTIF($C$113:$D$118,"Julio")</f>
        <v>2</v>
      </c>
      <c r="L153" s="40">
        <f>+K153+J153+I153</f>
        <v>21</v>
      </c>
      <c r="N153">
        <v>3</v>
      </c>
    </row>
    <row r="154" spans="2:16" x14ac:dyDescent="0.25">
      <c r="C154" t="s">
        <v>8</v>
      </c>
      <c r="D154" s="39">
        <f>COUNTIF($C$9:$I$13,"Joel")-COUNTIF($C$14:$I$19,"Joel")+COUNTIF($C$33:$I$37,"Joel")-COUNTIF($C$38:$I$42,"Joel")+COUNTIF($C$55:$E$59,"Joel")-COUNTIF($C$60:$E$64,"Joel")</f>
        <v>6</v>
      </c>
      <c r="E154" s="39">
        <f>COUNTIF($C$20:$I$24,"Joel")-COUNTIF($C$25:$I$30,"Joel")+COUNTIF($C$43:$I$47,"Joel")-COUNTIF($C$48:$I$52,"Joel")+COUNTIF($C$65:$E$69,"Joel")-COUNTIF($C$71:$E$74,"Joel")</f>
        <v>5</v>
      </c>
      <c r="F154" s="39">
        <f>+COUNTIF($C$14:$I$19,"Joel")+COUNTIF($C$38:$I$42,"Joel")+COUNTIF($C$60:$E$64,"Joel")+COUNTIF($C$25:$I$30,"Joel")+COUNTIF($C$48:$I$52,"Joel")+COUNTIF($C$71:$E$74,"Joel")</f>
        <v>4</v>
      </c>
      <c r="G154" s="40">
        <f t="shared" si="6"/>
        <v>15</v>
      </c>
      <c r="H154" t="s">
        <v>8</v>
      </c>
      <c r="I154" s="39">
        <f>COUNTIF($C$55:$I$59,"Joel")-COUNTIF($C$60:$I$64,"Joel")+COUNTIF($C$77:$I$81,"Joel")-COUNTIF($C$82:$I$85,"Joel")+COUNTIF($C$98:$D$103,"Joel")-COUNTIF($C$104:$D$107,"Joel")</f>
        <v>5</v>
      </c>
      <c r="J154" s="39">
        <f>COUNTIF($C$65:$I$69,"Joel")-COUNTIF($C$71:$I$74,"Joel")+COUNTIF($C$86:$I$90,"Joel")-COUNTIF($C$91:$I$95,"Joel")+COUNTIF($C$108:$D$112,"Joel")-COUNTIF($C$113:$D$118,"Joel")</f>
        <v>18</v>
      </c>
      <c r="K154" s="39">
        <f>COUNTIF($C$60:$I$64,"Joel")+COUNTIF($C$82:$I$85,"Joel")+COUNTIF($C$104:$D$107,"Joel")+COUNTIF($C$71:$I$74,"Joel")+COUNTIF($C$91:$I$95,"Joel")+COUNTIF($C$113:$D$118,"Joel")</f>
        <v>3</v>
      </c>
      <c r="L154" s="41">
        <f t="shared" si="5"/>
        <v>26</v>
      </c>
      <c r="N154">
        <v>3</v>
      </c>
    </row>
    <row r="155" spans="2:16" x14ac:dyDescent="0.25">
      <c r="C155" s="38" t="s">
        <v>6</v>
      </c>
      <c r="D155" s="39">
        <f>COUNTIF($C$9:$I$13,"Jose")-COUNTIF($C$14:$I$19,"Jose")+COUNTIF($C$33:$I$37,"Jose")-COUNTIF($C$38:$I$42,"Jose")+COUNTIF($C$55:$E$59,"Jose")-COUNTIF($C$60:$E$64,"Jose")</f>
        <v>3</v>
      </c>
      <c r="E155" s="39">
        <f>COUNTIF($C$20:$I$24,"Jose")-COUNTIF($C$25:$I$30,"Jose")+COUNTIF($C$43:$I$47,"Jose")-COUNTIF($C$48:$I$52,"Jose")+COUNTIF($C$65:$E$69,"Jose")-COUNTIF($C$71:$E$74,"Jose")</f>
        <v>8</v>
      </c>
      <c r="F155" s="39">
        <f>+COUNTIF($C$14:$I$19,"Jose")+COUNTIF($C$38:$I$42,"Jose")+COUNTIF($C$60:$E$64,"Jose")+COUNTIF($C$25:$I$30,"Jose")+COUNTIF($C$48:$I$52,"Jose")+COUNTIF($C$71:$E$74,"Jose")</f>
        <v>4</v>
      </c>
      <c r="G155" s="40">
        <f>+F155+E155+D155</f>
        <v>15</v>
      </c>
      <c r="H155" s="38" t="s">
        <v>6</v>
      </c>
      <c r="I155" s="39">
        <f>COUNTIF($C$55:$I$59,"Jose")-COUNTIF($C$60:$I$64,"Jose")+COUNTIF($C$77:$I$81,"Jose")-COUNTIF($C$82:$I$85,"Jose")+COUNTIF($C$98:$D$103,"Jose")-COUNTIF($C$104:$D$107,"Jose")</f>
        <v>10</v>
      </c>
      <c r="J155" s="39">
        <f>COUNTIF($C$65:$I$69,"Jose")-COUNTIF($C$71:$I$74,"Jose")+COUNTIF($C$86:$I$90,"Jose")-COUNTIF($C$91:$I$95,"Jose")+COUNTIF($C$108:$D$112,"Jose")-COUNTIF($C$113:$D$118,"Jose")</f>
        <v>6</v>
      </c>
      <c r="K155" s="39">
        <f>COUNTIF($C$60:$I$64,"Jose")+COUNTIF($C$82:$I$85,"Jose")+COUNTIF($C$104:$D$107,"Jose")+COUNTIF($C$71:$I$74,"Jose")+COUNTIF($C$91:$I$95,"Jose")+COUNTIF($C$113:$D$118,"Jose")</f>
        <v>3</v>
      </c>
      <c r="L155" s="40">
        <f t="shared" si="5"/>
        <v>19</v>
      </c>
      <c r="N155">
        <v>3</v>
      </c>
    </row>
    <row r="156" spans="2:16" x14ac:dyDescent="0.25">
      <c r="C156" t="s">
        <v>14</v>
      </c>
      <c r="D156" s="39">
        <f>COUNTIF($C$9:$I$13,"Lester")-COUNTIF($C$14:$I$19,"Lester")+COUNTIF($C$33:$I$37,"Lester")-COUNTIF($C$38:$I$42,"Lester")+COUNTIF($C$55:$E$59,"Lester")-COUNTIF($C$60:$E$64,"Lester")</f>
        <v>4</v>
      </c>
      <c r="E156" s="39">
        <f>COUNTIF($C$20:$I$24,"Lester")-COUNTIF($C$25:$I$30,"Lester")+COUNTIF($C$43:$I$47,"Lester")-COUNTIF($C$48:$I$52,"Lester")+COUNTIF($C$65:$E$69,"Lester")-COUNTIF($C$71:$E$74,"Lester")</f>
        <v>4</v>
      </c>
      <c r="F156" s="39">
        <f>+COUNTIF($C$14:$I$19,"Lester")+COUNTIF($C$38:$I$42,"Lester")+COUNTIF($C$60:$E$64,"Lester")+COUNTIF($C$25:$I$30,"Lester")+COUNTIF($C$48:$I$52,"Lester")+COUNTIF($C$71:$E$74,"Lester")</f>
        <v>2</v>
      </c>
      <c r="G156" s="40">
        <f>+F156+E156+D156</f>
        <v>10</v>
      </c>
      <c r="H156" t="s">
        <v>14</v>
      </c>
      <c r="I156" s="39">
        <f>COUNTIF($C$55:$I$59,"Lester")-COUNTIF($C$60:$I$64,"Lester")+COUNTIF($C$77:$I$81,"Lester")-COUNTIF($C$82:$I$85,"Lester")+COUNTIF($C$98:$D$103,"Lester")-COUNTIF($C$104:$D$107,"Lester")</f>
        <v>1</v>
      </c>
      <c r="J156" s="39">
        <f>COUNTIF($C$65:$I$69,"Lester")-COUNTIF($C$71:$I$74,"Lester")+COUNTIF($C$86:$I$90,"Lester")-COUNTIF($C$91:$I$95,"Lester")+COUNTIF($C$108:$D$112,"Lester")-COUNTIF($C$113:$D$118,"Lester")</f>
        <v>1</v>
      </c>
      <c r="K156" s="39">
        <f>COUNTIF($C$60:$I$64,"Lester")+COUNTIF($C$82:$I$85,"Lester")+COUNTIF($C$104:$D$107,"Lester")+COUNTIF($C$71:$I$74,"Lester")+COUNTIF($C$91:$I$95,"Lester")+COUNTIF($C$113:$D$118,"Lester")</f>
        <v>0</v>
      </c>
      <c r="L156" s="41">
        <f t="shared" si="5"/>
        <v>2</v>
      </c>
    </row>
    <row r="157" spans="2:16" x14ac:dyDescent="0.25">
      <c r="D157" s="2">
        <f>SUM(D149:D156)</f>
        <v>46</v>
      </c>
      <c r="E157" s="2">
        <f t="shared" ref="E157:G157" si="7">SUM(E149:E156)</f>
        <v>45</v>
      </c>
      <c r="F157" s="2">
        <f t="shared" si="7"/>
        <v>20</v>
      </c>
      <c r="G157" s="2">
        <f t="shared" si="7"/>
        <v>111</v>
      </c>
      <c r="I157" s="2">
        <f t="shared" ref="I157:L157" si="8">SUM(I149:I156)</f>
        <v>60</v>
      </c>
      <c r="J157" s="2">
        <f>SUM(J149:J156)</f>
        <v>62</v>
      </c>
      <c r="K157" s="2">
        <f t="shared" si="8"/>
        <v>17</v>
      </c>
      <c r="L157" s="2">
        <f t="shared" si="8"/>
        <v>139</v>
      </c>
    </row>
    <row r="162" spans="3:5" x14ac:dyDescent="0.25">
      <c r="C162" t="s">
        <v>36</v>
      </c>
      <c r="E162">
        <f>+F157+K157</f>
        <v>37</v>
      </c>
    </row>
    <row r="164" spans="3:5" x14ac:dyDescent="0.25">
      <c r="C164" t="s">
        <v>37</v>
      </c>
      <c r="E164">
        <f>7*28</f>
        <v>196</v>
      </c>
    </row>
  </sheetData>
  <mergeCells count="34">
    <mergeCell ref="I147:M147"/>
    <mergeCell ref="A120:A141"/>
    <mergeCell ref="B121:B126"/>
    <mergeCell ref="B131:B135"/>
    <mergeCell ref="B137:B139"/>
    <mergeCell ref="B140:B141"/>
    <mergeCell ref="C147:G147"/>
    <mergeCell ref="A76:A95"/>
    <mergeCell ref="B77:B81"/>
    <mergeCell ref="B86:B90"/>
    <mergeCell ref="B91:B92"/>
    <mergeCell ref="B93:B94"/>
    <mergeCell ref="A97:A117"/>
    <mergeCell ref="B98:B103"/>
    <mergeCell ref="B108:B112"/>
    <mergeCell ref="B113:B115"/>
    <mergeCell ref="B116:B117"/>
    <mergeCell ref="A32:A52"/>
    <mergeCell ref="B33:B37"/>
    <mergeCell ref="B40:B41"/>
    <mergeCell ref="B43:B47"/>
    <mergeCell ref="B48:B50"/>
    <mergeCell ref="A54:A74"/>
    <mergeCell ref="B55:B59"/>
    <mergeCell ref="B62:B63"/>
    <mergeCell ref="B65:B69"/>
    <mergeCell ref="B71:B72"/>
    <mergeCell ref="B60:B61"/>
    <mergeCell ref="B2:I2"/>
    <mergeCell ref="B3:I3"/>
    <mergeCell ref="A8:A30"/>
    <mergeCell ref="B9:B13"/>
    <mergeCell ref="B20:B24"/>
    <mergeCell ref="B25:B27"/>
  </mergeCells>
  <pageMargins left="0.7" right="0.7" top="0.75" bottom="0.75" header="0.3" footer="0.3"/>
  <pageSetup paperSize="9" scale="2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443E-8DF4-4440-B5E7-7BA5856895B9}">
  <sheetPr>
    <pageSetUpPr fitToPage="1"/>
  </sheetPr>
  <dimension ref="A1:AH69"/>
  <sheetViews>
    <sheetView showGridLines="0" topLeftCell="A56" workbookViewId="0">
      <selection activeCell="I68" sqref="I68"/>
    </sheetView>
  </sheetViews>
  <sheetFormatPr baseColWidth="10" defaultColWidth="9.125" defaultRowHeight="24" x14ac:dyDescent="0.4"/>
  <cols>
    <col min="1" max="1" width="7" bestFit="1" customWidth="1"/>
    <col min="2" max="2" width="7" style="67" bestFit="1" customWidth="1"/>
    <col min="3" max="3" width="12.625" customWidth="1"/>
    <col min="4" max="4" width="17.875" style="50" customWidth="1"/>
    <col min="5" max="5" width="14" style="50" customWidth="1"/>
    <col min="6" max="6" width="12.875" style="50" customWidth="1"/>
    <col min="7" max="7" width="15.5" style="50" customWidth="1"/>
    <col min="8" max="8" width="12.625" style="50" bestFit="1" customWidth="1"/>
    <col min="9" max="9" width="14.375" style="50" customWidth="1"/>
    <col min="10" max="10" width="14.375" style="50" bestFit="1" customWidth="1"/>
    <col min="11" max="11" width="5.5" customWidth="1"/>
    <col min="12" max="12" width="7" bestFit="1" customWidth="1"/>
    <col min="13" max="13" width="14.5" bestFit="1" customWidth="1"/>
    <col min="14" max="14" width="11.625" bestFit="1" customWidth="1"/>
    <col min="15" max="15" width="14.5" style="50" customWidth="1"/>
    <col min="16" max="16" width="13.125" style="50" customWidth="1"/>
    <col min="17" max="17" width="12" style="50" bestFit="1" customWidth="1"/>
    <col min="18" max="18" width="12.625" style="50" bestFit="1" customWidth="1"/>
    <col min="19" max="19" width="13" style="50" bestFit="1" customWidth="1"/>
    <col min="20" max="21" width="14.375" style="50" bestFit="1" customWidth="1"/>
  </cols>
  <sheetData>
    <row r="1" spans="1:34" ht="15.75" customHeight="1" x14ac:dyDescent="0.4"/>
    <row r="2" spans="1:34" ht="22.5" customHeight="1" x14ac:dyDescent="0.4">
      <c r="C2" s="102" t="s">
        <v>0</v>
      </c>
      <c r="D2" s="102"/>
      <c r="E2" s="102"/>
      <c r="F2" s="102"/>
      <c r="G2" s="102"/>
      <c r="H2" s="102"/>
      <c r="I2" s="102"/>
      <c r="J2" s="102"/>
    </row>
    <row r="3" spans="1:34" ht="19.5" customHeight="1" x14ac:dyDescent="0.4">
      <c r="C3" s="103" t="s">
        <v>131</v>
      </c>
      <c r="D3" s="103"/>
      <c r="E3" s="103"/>
      <c r="F3" s="103"/>
      <c r="G3" s="103"/>
      <c r="H3" s="103"/>
      <c r="I3" s="103"/>
      <c r="J3" s="103"/>
    </row>
    <row r="4" spans="1:34" ht="15.75" customHeight="1" x14ac:dyDescent="0.4"/>
    <row r="5" spans="1:34" ht="15.75" customHeight="1" x14ac:dyDescent="0.4">
      <c r="C5" s="3" t="s">
        <v>52</v>
      </c>
    </row>
    <row r="6" spans="1:34" ht="15.75" customHeight="1" x14ac:dyDescent="0.4">
      <c r="L6" s="67"/>
    </row>
    <row r="7" spans="1:34" ht="24" customHeight="1" x14ac:dyDescent="0.25">
      <c r="A7" s="139" t="s">
        <v>2</v>
      </c>
      <c r="B7" s="140" t="s">
        <v>53</v>
      </c>
      <c r="C7" s="150" t="s">
        <v>3</v>
      </c>
      <c r="D7" s="150"/>
      <c r="E7" s="150"/>
      <c r="F7" s="150" t="s">
        <v>99</v>
      </c>
      <c r="G7" s="150" t="s">
        <v>100</v>
      </c>
      <c r="H7" s="150" t="s">
        <v>101</v>
      </c>
      <c r="I7" s="150" t="s">
        <v>102</v>
      </c>
      <c r="J7" s="150" t="s">
        <v>103</v>
      </c>
      <c r="M7" s="51"/>
      <c r="N7" s="70">
        <v>25</v>
      </c>
      <c r="O7" s="71">
        <v>1</v>
      </c>
      <c r="P7" s="71"/>
      <c r="Y7" s="2" t="s">
        <v>54</v>
      </c>
      <c r="Z7" s="2" t="s">
        <v>33</v>
      </c>
      <c r="AA7" s="2" t="s">
        <v>34</v>
      </c>
      <c r="AB7" s="2" t="s">
        <v>55</v>
      </c>
      <c r="AC7" s="2" t="s">
        <v>56</v>
      </c>
      <c r="AD7" s="2" t="s">
        <v>57</v>
      </c>
      <c r="AE7" s="2" t="s">
        <v>58</v>
      </c>
      <c r="AF7" s="2" t="s">
        <v>59</v>
      </c>
      <c r="AG7" s="2" t="s">
        <v>60</v>
      </c>
    </row>
    <row r="8" spans="1:34" ht="15.75" x14ac:dyDescent="0.25">
      <c r="A8" s="139"/>
      <c r="B8" s="140"/>
      <c r="C8" s="160" t="s">
        <v>5</v>
      </c>
      <c r="D8" s="151"/>
      <c r="E8" s="152"/>
      <c r="F8" s="152" t="s">
        <v>61</v>
      </c>
      <c r="G8" s="151" t="s">
        <v>61</v>
      </c>
      <c r="H8" s="152" t="s">
        <v>61</v>
      </c>
      <c r="I8" s="152" t="s">
        <v>61</v>
      </c>
      <c r="J8" s="152" t="s">
        <v>61</v>
      </c>
      <c r="M8" s="52" t="s">
        <v>62</v>
      </c>
      <c r="X8" t="s">
        <v>63</v>
      </c>
      <c r="Y8" s="2">
        <v>3</v>
      </c>
      <c r="Z8" s="2"/>
      <c r="AA8" s="2"/>
      <c r="AB8" s="2">
        <v>2</v>
      </c>
      <c r="AC8" s="2">
        <v>-2</v>
      </c>
      <c r="AD8" s="2">
        <v>-1</v>
      </c>
      <c r="AE8" s="2">
        <v>-2</v>
      </c>
      <c r="AF8" s="2"/>
      <c r="AG8" s="2">
        <f>SUM(Y8:AE8)</f>
        <v>0</v>
      </c>
      <c r="AH8" s="2"/>
    </row>
    <row r="9" spans="1:34" ht="15.75" x14ac:dyDescent="0.25">
      <c r="A9" s="139"/>
      <c r="B9" s="140"/>
      <c r="C9" s="160" t="s">
        <v>64</v>
      </c>
      <c r="D9" s="152"/>
      <c r="E9" s="152"/>
      <c r="F9" s="152"/>
      <c r="G9" s="152" t="s">
        <v>111</v>
      </c>
      <c r="H9" s="152"/>
      <c r="I9" s="152"/>
      <c r="J9" s="152"/>
      <c r="M9" t="s">
        <v>65</v>
      </c>
      <c r="X9" t="s">
        <v>66</v>
      </c>
      <c r="Y9" s="2">
        <v>3</v>
      </c>
      <c r="Z9" s="2"/>
      <c r="AA9" s="2">
        <v>-2</v>
      </c>
      <c r="AB9" s="2">
        <v>2</v>
      </c>
      <c r="AC9" s="2">
        <v>-1</v>
      </c>
      <c r="AD9" s="2"/>
      <c r="AE9" s="2">
        <v>-2</v>
      </c>
      <c r="AF9" s="2"/>
      <c r="AG9" s="2">
        <f t="shared" ref="AG9:AG12" si="0">SUM(Y9:AE9)</f>
        <v>0</v>
      </c>
      <c r="AH9" s="72"/>
    </row>
    <row r="10" spans="1:34" ht="15.75" x14ac:dyDescent="0.25">
      <c r="A10" s="139"/>
      <c r="B10" s="140"/>
      <c r="C10" s="161" t="s">
        <v>12</v>
      </c>
      <c r="D10" s="153"/>
      <c r="E10" s="153"/>
      <c r="F10" s="153"/>
      <c r="G10" s="154" t="s">
        <v>61</v>
      </c>
      <c r="H10" s="153"/>
      <c r="I10" s="153"/>
      <c r="J10" s="153"/>
      <c r="X10" t="s">
        <v>67</v>
      </c>
      <c r="Y10" s="2">
        <v>3</v>
      </c>
      <c r="Z10" s="2"/>
      <c r="AA10" s="2"/>
      <c r="AB10" s="2">
        <v>2</v>
      </c>
      <c r="AC10" s="2"/>
      <c r="AD10" s="2">
        <f>-1-1-1</f>
        <v>-3</v>
      </c>
      <c r="AE10" s="2">
        <v>-1</v>
      </c>
      <c r="AF10" s="2">
        <v>-1</v>
      </c>
      <c r="AG10" s="2">
        <f>SUM(Y10:AF10)</f>
        <v>0</v>
      </c>
      <c r="AH10" s="72"/>
    </row>
    <row r="11" spans="1:34" ht="15.75" x14ac:dyDescent="0.25">
      <c r="A11" s="139"/>
      <c r="B11" s="140"/>
      <c r="C11" s="162" t="s">
        <v>15</v>
      </c>
      <c r="D11" s="153"/>
      <c r="E11" s="153"/>
      <c r="F11" s="153"/>
      <c r="G11" s="153"/>
      <c r="H11" s="153"/>
      <c r="I11" s="153"/>
      <c r="J11" s="153"/>
      <c r="X11" t="s">
        <v>68</v>
      </c>
      <c r="Y11" s="2">
        <v>3</v>
      </c>
      <c r="Z11" s="2">
        <v>-1</v>
      </c>
      <c r="AA11" s="2">
        <v>-2</v>
      </c>
      <c r="AB11" s="2">
        <v>2</v>
      </c>
      <c r="AC11" s="2">
        <v>-1</v>
      </c>
      <c r="AD11" s="2"/>
      <c r="AE11" s="2">
        <v>-1</v>
      </c>
      <c r="AF11" s="2"/>
      <c r="AG11" s="2">
        <f t="shared" si="0"/>
        <v>0</v>
      </c>
      <c r="AH11" s="72"/>
    </row>
    <row r="12" spans="1:34" ht="15.75" x14ac:dyDescent="0.25">
      <c r="A12" s="139"/>
      <c r="B12" s="140"/>
      <c r="C12" s="163" t="s">
        <v>17</v>
      </c>
      <c r="D12" s="153"/>
      <c r="E12" s="153"/>
      <c r="F12" s="153"/>
      <c r="G12" s="153"/>
      <c r="H12" s="153"/>
      <c r="I12" s="153"/>
      <c r="J12" s="153"/>
      <c r="X12" s="73" t="s">
        <v>69</v>
      </c>
      <c r="Y12" s="2">
        <v>3</v>
      </c>
      <c r="Z12" s="2">
        <v>-3</v>
      </c>
      <c r="AA12" s="2"/>
      <c r="AB12" s="2">
        <v>2</v>
      </c>
      <c r="AC12" s="2">
        <v>-1</v>
      </c>
      <c r="AD12" s="2"/>
      <c r="AE12" s="2">
        <v>-1</v>
      </c>
      <c r="AF12" s="2"/>
      <c r="AG12" s="2">
        <f t="shared" si="0"/>
        <v>0</v>
      </c>
      <c r="AH12" s="2"/>
    </row>
    <row r="13" spans="1:34" ht="15.75" x14ac:dyDescent="0.25">
      <c r="A13" s="139"/>
      <c r="B13" s="140"/>
      <c r="C13" s="160" t="s">
        <v>18</v>
      </c>
      <c r="D13" s="152"/>
      <c r="E13" s="152"/>
      <c r="F13" s="152" t="s">
        <v>62</v>
      </c>
      <c r="G13" s="152" t="s">
        <v>62</v>
      </c>
      <c r="H13" s="152" t="s">
        <v>62</v>
      </c>
      <c r="I13" s="152" t="s">
        <v>62</v>
      </c>
      <c r="J13" s="155" t="s">
        <v>62</v>
      </c>
      <c r="M13" s="35">
        <f>14.58*1304509.59</f>
        <v>19019749.8222</v>
      </c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39"/>
      <c r="B14" s="140"/>
      <c r="C14" s="161" t="s">
        <v>12</v>
      </c>
      <c r="D14" s="156"/>
      <c r="E14" s="153"/>
      <c r="F14" s="152"/>
      <c r="G14" s="152"/>
      <c r="H14" s="152"/>
      <c r="I14" s="152"/>
      <c r="J14" s="152" t="s">
        <v>111</v>
      </c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39"/>
      <c r="B15" s="140"/>
      <c r="C15" s="162" t="s">
        <v>15</v>
      </c>
      <c r="D15" s="153"/>
      <c r="E15" s="153"/>
      <c r="F15" s="156"/>
      <c r="G15" s="153"/>
      <c r="H15" s="156"/>
      <c r="I15" s="156"/>
      <c r="J15" s="154" t="s">
        <v>62</v>
      </c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39"/>
      <c r="B16" s="149"/>
      <c r="C16" s="162"/>
      <c r="D16" s="153"/>
      <c r="E16" s="153"/>
      <c r="F16" s="153"/>
      <c r="G16" s="153"/>
      <c r="H16" s="153"/>
      <c r="I16" s="153"/>
      <c r="J16" s="153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39"/>
      <c r="B17" s="68"/>
      <c r="C17" s="163" t="s">
        <v>17</v>
      </c>
      <c r="D17" s="153"/>
      <c r="E17" s="153"/>
      <c r="F17" s="153"/>
      <c r="G17" s="153"/>
      <c r="H17" s="153"/>
      <c r="I17" s="153"/>
      <c r="J17" s="153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3.5" customHeight="1" x14ac:dyDescent="0.4">
      <c r="A18" s="74"/>
      <c r="C18" s="164"/>
      <c r="D18" s="158"/>
      <c r="E18" s="158"/>
      <c r="F18" s="158"/>
      <c r="G18" s="158"/>
      <c r="H18" s="158"/>
      <c r="I18" s="158"/>
      <c r="J18" s="158"/>
    </row>
    <row r="19" spans="1:34" ht="15" customHeight="1" x14ac:dyDescent="0.25">
      <c r="A19" s="139" t="s">
        <v>19</v>
      </c>
      <c r="B19" s="140" t="s">
        <v>53</v>
      </c>
      <c r="C19" s="150" t="s">
        <v>3</v>
      </c>
      <c r="D19" s="150" t="s">
        <v>130</v>
      </c>
      <c r="E19" s="150" t="s">
        <v>132</v>
      </c>
      <c r="F19" s="150" t="s">
        <v>133</v>
      </c>
      <c r="G19" s="150" t="s">
        <v>134</v>
      </c>
      <c r="H19" s="150" t="s">
        <v>135</v>
      </c>
      <c r="I19" s="150" t="s">
        <v>136</v>
      </c>
      <c r="J19" s="150" t="s">
        <v>137</v>
      </c>
    </row>
    <row r="20" spans="1:34" ht="31.5" customHeight="1" x14ac:dyDescent="0.25">
      <c r="A20" s="139"/>
      <c r="B20" s="140"/>
      <c r="C20" s="160" t="s">
        <v>5</v>
      </c>
      <c r="D20" s="152" t="s">
        <v>62</v>
      </c>
      <c r="E20" s="152" t="s">
        <v>62</v>
      </c>
      <c r="F20" s="152" t="s">
        <v>62</v>
      </c>
      <c r="G20" s="155" t="s">
        <v>62</v>
      </c>
      <c r="H20" s="152" t="s">
        <v>62</v>
      </c>
      <c r="I20" s="152" t="s">
        <v>62</v>
      </c>
      <c r="J20" s="152" t="s">
        <v>62</v>
      </c>
      <c r="W20" s="75" t="s">
        <v>70</v>
      </c>
    </row>
    <row r="21" spans="1:34" ht="15.75" x14ac:dyDescent="0.25">
      <c r="A21" s="139"/>
      <c r="B21" s="140"/>
      <c r="C21" s="160" t="s">
        <v>64</v>
      </c>
      <c r="D21" s="155" t="s">
        <v>111</v>
      </c>
      <c r="E21" s="155" t="s">
        <v>111</v>
      </c>
      <c r="F21" s="152"/>
      <c r="G21" s="152" t="s">
        <v>111</v>
      </c>
      <c r="H21" s="152"/>
      <c r="I21" s="155" t="s">
        <v>111</v>
      </c>
      <c r="J21" s="152"/>
      <c r="W21" t="s">
        <v>72</v>
      </c>
    </row>
    <row r="22" spans="1:34" ht="15.75" x14ac:dyDescent="0.25">
      <c r="A22" s="139"/>
      <c r="B22" s="140"/>
      <c r="C22" s="161" t="s">
        <v>12</v>
      </c>
      <c r="D22" s="153"/>
      <c r="E22" s="153"/>
      <c r="F22" s="153"/>
      <c r="G22" s="154" t="s">
        <v>62</v>
      </c>
      <c r="H22" s="153"/>
      <c r="I22" s="153"/>
      <c r="J22" s="153"/>
      <c r="W22" t="s">
        <v>73</v>
      </c>
    </row>
    <row r="23" spans="1:34" ht="15.75" x14ac:dyDescent="0.25">
      <c r="A23" s="139"/>
      <c r="B23" s="140"/>
      <c r="C23" s="162" t="s">
        <v>15</v>
      </c>
      <c r="D23" s="153"/>
      <c r="E23" s="153"/>
      <c r="F23" s="153"/>
      <c r="G23" s="153"/>
      <c r="H23" s="153"/>
      <c r="I23" s="153"/>
      <c r="J23" s="153"/>
    </row>
    <row r="24" spans="1:34" ht="15.75" x14ac:dyDescent="0.25">
      <c r="A24" s="139"/>
      <c r="B24" s="140"/>
      <c r="C24" s="163" t="s">
        <v>17</v>
      </c>
      <c r="D24" s="153"/>
      <c r="E24" s="153"/>
      <c r="F24" s="153"/>
      <c r="G24" s="153"/>
      <c r="H24" s="153"/>
      <c r="I24" s="153"/>
      <c r="J24" s="153"/>
    </row>
    <row r="25" spans="1:34" ht="15.75" x14ac:dyDescent="0.25">
      <c r="A25" s="139"/>
      <c r="B25" s="140"/>
      <c r="C25" s="160" t="s">
        <v>18</v>
      </c>
      <c r="D25" s="152" t="s">
        <v>61</v>
      </c>
      <c r="E25" s="152" t="s">
        <v>61</v>
      </c>
      <c r="F25" s="152" t="s">
        <v>61</v>
      </c>
      <c r="G25" s="152" t="s">
        <v>61</v>
      </c>
      <c r="H25" s="155" t="s">
        <v>61</v>
      </c>
      <c r="I25" s="152" t="s">
        <v>61</v>
      </c>
      <c r="J25" s="152" t="s">
        <v>61</v>
      </c>
    </row>
    <row r="26" spans="1:34" ht="15.75" x14ac:dyDescent="0.25">
      <c r="A26" s="139"/>
      <c r="B26" s="140"/>
      <c r="C26" s="160"/>
      <c r="D26" s="152"/>
      <c r="E26" s="152"/>
      <c r="F26" s="152"/>
      <c r="G26" s="152"/>
      <c r="H26" s="155" t="s">
        <v>111</v>
      </c>
      <c r="I26" s="152"/>
      <c r="J26" s="152"/>
    </row>
    <row r="27" spans="1:34" ht="15.75" x14ac:dyDescent="0.25">
      <c r="A27" s="139"/>
      <c r="B27" s="140"/>
      <c r="C27" s="160"/>
      <c r="D27" s="152"/>
      <c r="E27" s="152"/>
      <c r="F27" s="152"/>
      <c r="G27" s="152"/>
      <c r="H27" s="152" t="s">
        <v>7</v>
      </c>
      <c r="I27" s="152"/>
      <c r="J27" s="152"/>
    </row>
    <row r="28" spans="1:34" ht="15.75" x14ac:dyDescent="0.25">
      <c r="A28" s="139"/>
      <c r="B28" s="140"/>
      <c r="C28" s="161" t="s">
        <v>12</v>
      </c>
      <c r="D28" s="156"/>
      <c r="E28" s="156"/>
      <c r="F28" s="156"/>
      <c r="G28" s="153"/>
      <c r="H28" s="154" t="s">
        <v>61</v>
      </c>
      <c r="I28" s="153"/>
      <c r="J28" s="153"/>
    </row>
    <row r="29" spans="1:34" ht="15.75" x14ac:dyDescent="0.25">
      <c r="A29" s="139"/>
      <c r="B29" s="140"/>
      <c r="C29" s="162" t="s">
        <v>15</v>
      </c>
      <c r="D29" s="156"/>
      <c r="E29" s="153"/>
      <c r="F29" s="153"/>
      <c r="G29" s="153"/>
      <c r="H29" s="166" t="s">
        <v>111</v>
      </c>
      <c r="I29" s="153"/>
      <c r="J29" s="153"/>
    </row>
    <row r="30" spans="1:34" ht="15.75" x14ac:dyDescent="0.25">
      <c r="A30" s="139"/>
      <c r="B30" s="68"/>
      <c r="C30" s="163" t="s">
        <v>17</v>
      </c>
      <c r="D30" s="156"/>
      <c r="E30" s="153"/>
      <c r="F30" s="153"/>
      <c r="G30" s="153"/>
      <c r="H30" s="153"/>
      <c r="I30" s="153"/>
      <c r="J30" s="153"/>
    </row>
    <row r="31" spans="1:34" ht="14.25" customHeight="1" x14ac:dyDescent="0.4">
      <c r="A31" s="74"/>
      <c r="C31" s="164"/>
      <c r="D31" s="158"/>
      <c r="E31" s="158"/>
      <c r="F31" s="158"/>
      <c r="G31" s="158"/>
      <c r="H31" s="158"/>
      <c r="I31" s="158"/>
      <c r="J31" s="158"/>
    </row>
    <row r="32" spans="1:34" ht="15.75" x14ac:dyDescent="0.25">
      <c r="A32" s="139" t="s">
        <v>20</v>
      </c>
      <c r="B32" s="140" t="s">
        <v>53</v>
      </c>
      <c r="C32" s="150" t="s">
        <v>3</v>
      </c>
      <c r="D32" s="150" t="s">
        <v>138</v>
      </c>
      <c r="E32" s="150" t="s">
        <v>139</v>
      </c>
      <c r="F32" s="150" t="s">
        <v>140</v>
      </c>
      <c r="G32" s="150" t="s">
        <v>141</v>
      </c>
      <c r="H32" s="150" t="s">
        <v>142</v>
      </c>
      <c r="I32" s="150" t="s">
        <v>143</v>
      </c>
      <c r="J32" s="150" t="s">
        <v>144</v>
      </c>
    </row>
    <row r="33" spans="1:21" ht="31.5" customHeight="1" x14ac:dyDescent="0.25">
      <c r="A33" s="139"/>
      <c r="B33" s="140"/>
      <c r="C33" s="160" t="s">
        <v>5</v>
      </c>
      <c r="D33" s="152" t="s">
        <v>62</v>
      </c>
      <c r="E33" s="152" t="s">
        <v>62</v>
      </c>
      <c r="F33" s="152" t="s">
        <v>62</v>
      </c>
      <c r="G33" s="155" t="s">
        <v>62</v>
      </c>
      <c r="H33" s="152" t="s">
        <v>62</v>
      </c>
      <c r="I33" s="152" t="s">
        <v>62</v>
      </c>
      <c r="J33" s="152" t="s">
        <v>62</v>
      </c>
    </row>
    <row r="34" spans="1:21" ht="15.75" x14ac:dyDescent="0.25">
      <c r="A34" s="139"/>
      <c r="B34" s="140"/>
      <c r="C34" s="160" t="s">
        <v>64</v>
      </c>
      <c r="D34" s="159" t="s">
        <v>111</v>
      </c>
      <c r="E34" s="155" t="s">
        <v>71</v>
      </c>
      <c r="F34" s="155"/>
      <c r="G34" s="152" t="s">
        <v>71</v>
      </c>
      <c r="H34" s="155" t="s">
        <v>111</v>
      </c>
      <c r="I34" s="155" t="s">
        <v>111</v>
      </c>
      <c r="J34" s="152"/>
    </row>
    <row r="35" spans="1:21" ht="15.75" x14ac:dyDescent="0.25">
      <c r="A35" s="139"/>
      <c r="B35" s="140"/>
      <c r="C35" s="161" t="s">
        <v>12</v>
      </c>
      <c r="D35" s="153"/>
      <c r="E35" s="153"/>
      <c r="F35" s="153"/>
      <c r="G35" s="154" t="s">
        <v>62</v>
      </c>
      <c r="H35" s="153"/>
      <c r="I35" s="153"/>
      <c r="J35" s="153"/>
    </row>
    <row r="36" spans="1:21" ht="15.75" x14ac:dyDescent="0.25">
      <c r="A36" s="139"/>
      <c r="B36" s="140"/>
      <c r="C36" s="162" t="s">
        <v>15</v>
      </c>
      <c r="D36" s="153"/>
      <c r="E36" s="153"/>
      <c r="F36" s="153"/>
      <c r="G36" s="153"/>
      <c r="H36" s="153"/>
      <c r="I36" s="153"/>
      <c r="J36" s="153"/>
    </row>
    <row r="37" spans="1:21" ht="15.75" x14ac:dyDescent="0.25">
      <c r="A37" s="139"/>
      <c r="B37" s="140"/>
      <c r="C37" s="163" t="s">
        <v>17</v>
      </c>
      <c r="D37" s="153"/>
      <c r="E37" s="153"/>
      <c r="F37" s="153"/>
      <c r="G37" s="153"/>
      <c r="H37" s="153"/>
      <c r="I37" s="153"/>
      <c r="J37" s="153"/>
    </row>
    <row r="38" spans="1:21" ht="15.75" x14ac:dyDescent="0.25">
      <c r="A38" s="139"/>
      <c r="B38" s="140"/>
      <c r="C38" s="160" t="s">
        <v>18</v>
      </c>
      <c r="D38" s="152" t="s">
        <v>61</v>
      </c>
      <c r="E38" s="152" t="s">
        <v>61</v>
      </c>
      <c r="F38" s="152" t="s">
        <v>61</v>
      </c>
      <c r="G38" s="152" t="s">
        <v>61</v>
      </c>
      <c r="H38" s="155" t="s">
        <v>61</v>
      </c>
      <c r="I38" s="152" t="s">
        <v>61</v>
      </c>
      <c r="J38" s="152" t="s">
        <v>61</v>
      </c>
    </row>
    <row r="39" spans="1:21" ht="15.75" x14ac:dyDescent="0.25">
      <c r="A39" s="139"/>
      <c r="B39" s="140"/>
      <c r="C39" s="160"/>
      <c r="D39" s="159" t="s">
        <v>111</v>
      </c>
      <c r="E39" s="152"/>
      <c r="F39" s="152"/>
      <c r="G39" s="152"/>
      <c r="H39" s="155" t="s">
        <v>111</v>
      </c>
      <c r="I39" s="152"/>
      <c r="J39" s="159" t="s">
        <v>111</v>
      </c>
    </row>
    <row r="40" spans="1:21" ht="15.75" x14ac:dyDescent="0.25">
      <c r="A40" s="139"/>
      <c r="B40" s="140"/>
      <c r="C40" s="160"/>
      <c r="D40" s="159"/>
      <c r="E40" s="152"/>
      <c r="F40" s="152"/>
      <c r="G40" s="152"/>
      <c r="H40" s="152" t="s">
        <v>7</v>
      </c>
      <c r="I40" s="152"/>
      <c r="J40" s="159"/>
    </row>
    <row r="41" spans="1:21" ht="15.75" x14ac:dyDescent="0.25">
      <c r="A41" s="139"/>
      <c r="B41" s="140"/>
      <c r="C41" s="161" t="s">
        <v>12</v>
      </c>
      <c r="D41" s="156"/>
      <c r="E41" s="156"/>
      <c r="F41" s="156"/>
      <c r="G41" s="153"/>
      <c r="H41" s="154" t="s">
        <v>61</v>
      </c>
      <c r="I41" s="156"/>
      <c r="J41" s="153"/>
    </row>
    <row r="42" spans="1:21" ht="15.75" x14ac:dyDescent="0.25">
      <c r="A42" s="139"/>
      <c r="B42" s="140"/>
      <c r="C42" s="162" t="s">
        <v>15</v>
      </c>
      <c r="D42" s="156"/>
      <c r="E42" s="153"/>
      <c r="F42" s="153"/>
      <c r="G42" s="153"/>
      <c r="H42" s="166" t="s">
        <v>111</v>
      </c>
      <c r="I42" s="153"/>
      <c r="J42" s="153"/>
    </row>
    <row r="43" spans="1:21" ht="15.75" x14ac:dyDescent="0.25">
      <c r="A43" s="139"/>
      <c r="B43" s="69"/>
      <c r="C43" s="163" t="s">
        <v>17</v>
      </c>
      <c r="D43" s="156"/>
      <c r="E43" s="153"/>
      <c r="F43" s="153"/>
      <c r="G43" s="153"/>
      <c r="H43" s="153"/>
      <c r="I43" s="153"/>
      <c r="J43" s="153"/>
    </row>
    <row r="44" spans="1:21" ht="20.25" customHeight="1" x14ac:dyDescent="0.25">
      <c r="A44" s="74"/>
      <c r="B44" s="74"/>
      <c r="C44" s="164"/>
      <c r="D44" s="158"/>
      <c r="E44" s="158"/>
      <c r="F44" s="158"/>
      <c r="G44" s="158"/>
      <c r="H44" s="158"/>
      <c r="I44" s="158"/>
      <c r="J44" s="158"/>
    </row>
    <row r="45" spans="1:21" ht="20.25" customHeight="1" x14ac:dyDescent="0.25">
      <c r="A45" s="139" t="s">
        <v>21</v>
      </c>
      <c r="B45" s="140" t="s">
        <v>53</v>
      </c>
      <c r="C45" s="150" t="s">
        <v>3</v>
      </c>
      <c r="D45" s="150" t="s">
        <v>145</v>
      </c>
      <c r="E45" s="150" t="s">
        <v>146</v>
      </c>
      <c r="F45" s="150" t="s">
        <v>147</v>
      </c>
      <c r="G45" s="150" t="s">
        <v>148</v>
      </c>
      <c r="H45" s="150" t="s">
        <v>149</v>
      </c>
      <c r="I45" s="150" t="s">
        <v>150</v>
      </c>
      <c r="J45" s="150" t="s">
        <v>151</v>
      </c>
    </row>
    <row r="46" spans="1:21" ht="30.75" customHeight="1" x14ac:dyDescent="0.25">
      <c r="A46" s="139"/>
      <c r="B46" s="140"/>
      <c r="C46" s="160" t="s">
        <v>5</v>
      </c>
      <c r="D46" s="152" t="s">
        <v>62</v>
      </c>
      <c r="E46" s="152" t="s">
        <v>62</v>
      </c>
      <c r="F46" s="152" t="s">
        <v>62</v>
      </c>
      <c r="G46" s="155" t="s">
        <v>62</v>
      </c>
      <c r="H46" s="152" t="s">
        <v>62</v>
      </c>
      <c r="I46" s="152" t="s">
        <v>62</v>
      </c>
      <c r="J46" s="152" t="s">
        <v>62</v>
      </c>
      <c r="O46" s="51"/>
      <c r="P46" s="51"/>
      <c r="Q46" s="51"/>
      <c r="R46" s="51"/>
      <c r="S46" s="51"/>
      <c r="T46" s="51"/>
      <c r="U46" s="51"/>
    </row>
    <row r="47" spans="1:21" ht="15.75" x14ac:dyDescent="0.25">
      <c r="A47" s="139"/>
      <c r="B47" s="140"/>
      <c r="C47" s="160" t="s">
        <v>64</v>
      </c>
      <c r="D47" s="159" t="s">
        <v>111</v>
      </c>
      <c r="E47" s="152" t="s">
        <v>71</v>
      </c>
      <c r="F47" s="152"/>
      <c r="G47" s="152" t="s">
        <v>71</v>
      </c>
      <c r="H47" s="152"/>
      <c r="I47" s="155" t="s">
        <v>111</v>
      </c>
      <c r="J47" s="152"/>
      <c r="O47" s="51"/>
      <c r="P47" s="51"/>
      <c r="Q47" s="51"/>
      <c r="R47" s="51"/>
      <c r="S47" s="51"/>
      <c r="T47" s="51"/>
      <c r="U47" s="51"/>
    </row>
    <row r="48" spans="1:21" ht="15.75" x14ac:dyDescent="0.25">
      <c r="A48" s="139"/>
      <c r="B48" s="140"/>
      <c r="C48" s="161" t="s">
        <v>12</v>
      </c>
      <c r="D48" s="153"/>
      <c r="E48" s="153"/>
      <c r="F48" s="153"/>
      <c r="G48" s="154" t="s">
        <v>62</v>
      </c>
      <c r="H48" s="153"/>
      <c r="I48" s="153"/>
      <c r="J48" s="153"/>
    </row>
    <row r="49" spans="1:19" ht="15.75" x14ac:dyDescent="0.25">
      <c r="A49" s="139"/>
      <c r="B49" s="140"/>
      <c r="C49" s="162" t="s">
        <v>15</v>
      </c>
      <c r="D49" s="153"/>
      <c r="E49" s="153"/>
      <c r="F49" s="153"/>
      <c r="G49" s="153"/>
      <c r="H49" s="153"/>
      <c r="I49" s="153"/>
      <c r="J49" s="153"/>
    </row>
    <row r="50" spans="1:19" ht="15.75" x14ac:dyDescent="0.25">
      <c r="A50" s="139"/>
      <c r="B50" s="140"/>
      <c r="C50" s="163" t="s">
        <v>17</v>
      </c>
      <c r="D50" s="153"/>
      <c r="E50" s="153"/>
      <c r="F50" s="153"/>
      <c r="G50" s="153"/>
      <c r="H50" s="153"/>
      <c r="I50" s="153"/>
      <c r="J50" s="153"/>
    </row>
    <row r="51" spans="1:19" ht="15.75" x14ac:dyDescent="0.25">
      <c r="A51" s="139"/>
      <c r="B51" s="140"/>
      <c r="C51" s="160" t="s">
        <v>18</v>
      </c>
      <c r="D51" s="152" t="s">
        <v>61</v>
      </c>
      <c r="E51" s="152" t="s">
        <v>61</v>
      </c>
      <c r="F51" s="152" t="s">
        <v>61</v>
      </c>
      <c r="G51" s="152" t="s">
        <v>61</v>
      </c>
      <c r="H51" s="155" t="s">
        <v>61</v>
      </c>
      <c r="I51" s="152" t="s">
        <v>61</v>
      </c>
      <c r="J51" s="152" t="s">
        <v>61</v>
      </c>
    </row>
    <row r="52" spans="1:19" ht="15.75" x14ac:dyDescent="0.25">
      <c r="A52" s="139"/>
      <c r="B52" s="140"/>
      <c r="C52" s="160"/>
      <c r="D52" s="152"/>
      <c r="E52" s="152"/>
      <c r="F52" s="152"/>
      <c r="G52" s="152"/>
      <c r="H52" s="152" t="s">
        <v>111</v>
      </c>
      <c r="I52" s="152"/>
      <c r="J52" s="152"/>
    </row>
    <row r="53" spans="1:19" ht="15.75" x14ac:dyDescent="0.25">
      <c r="A53" s="139"/>
      <c r="B53" s="140"/>
      <c r="C53" s="161" t="s">
        <v>12</v>
      </c>
      <c r="D53" s="156"/>
      <c r="E53" s="156"/>
      <c r="F53" s="156"/>
      <c r="G53" s="153"/>
      <c r="H53" s="154" t="s">
        <v>61</v>
      </c>
      <c r="I53" s="156"/>
      <c r="J53" s="153"/>
      <c r="L53" s="76"/>
      <c r="M53" s="76"/>
      <c r="N53" s="76"/>
      <c r="O53" s="77"/>
      <c r="P53" s="77"/>
      <c r="Q53" s="77"/>
      <c r="R53" s="77"/>
      <c r="S53" s="77"/>
    </row>
    <row r="54" spans="1:19" ht="15.75" x14ac:dyDescent="0.25">
      <c r="A54" s="139"/>
      <c r="B54" s="140"/>
      <c r="C54" s="165" t="s">
        <v>15</v>
      </c>
      <c r="D54" s="156"/>
      <c r="E54" s="153"/>
      <c r="F54" s="153"/>
      <c r="G54" s="153"/>
      <c r="H54" s="153"/>
      <c r="I54" s="153"/>
      <c r="J54" s="153"/>
      <c r="L54" s="76"/>
      <c r="M54" s="76"/>
      <c r="N54" s="76"/>
      <c r="O54" s="77"/>
      <c r="P54" s="77"/>
      <c r="Q54" s="77"/>
      <c r="R54" s="77"/>
      <c r="S54" s="77"/>
    </row>
    <row r="55" spans="1:19" ht="15.75" x14ac:dyDescent="0.25">
      <c r="A55" s="139"/>
      <c r="B55" s="74"/>
      <c r="C55" s="163" t="s">
        <v>17</v>
      </c>
      <c r="D55" s="156"/>
      <c r="E55" s="153"/>
      <c r="F55" s="153"/>
      <c r="G55" s="153"/>
      <c r="H55" s="153"/>
      <c r="I55" s="153"/>
      <c r="J55" s="153"/>
      <c r="L55" s="76"/>
      <c r="M55" s="76"/>
      <c r="N55" s="76"/>
      <c r="O55" s="78"/>
      <c r="P55" s="78"/>
      <c r="Q55" s="77"/>
      <c r="R55" s="78"/>
      <c r="S55" s="77"/>
    </row>
    <row r="56" spans="1:19" ht="15.75" x14ac:dyDescent="0.25">
      <c r="A56" s="74"/>
      <c r="B56" s="74"/>
      <c r="C56" s="164"/>
      <c r="D56" s="158"/>
      <c r="E56" s="158"/>
      <c r="F56" s="158"/>
      <c r="G56" s="158"/>
      <c r="H56" s="158"/>
      <c r="I56" s="158"/>
      <c r="J56" s="158"/>
      <c r="L56" s="76"/>
      <c r="M56" s="76"/>
      <c r="N56" s="76"/>
      <c r="O56" s="77"/>
      <c r="P56" s="77"/>
      <c r="Q56" s="77"/>
      <c r="R56" s="77"/>
      <c r="S56" s="77"/>
    </row>
    <row r="57" spans="1:19" ht="15.75" x14ac:dyDescent="0.25">
      <c r="A57" s="139" t="s">
        <v>22</v>
      </c>
      <c r="B57" s="140" t="s">
        <v>53</v>
      </c>
      <c r="C57" s="150" t="s">
        <v>3</v>
      </c>
      <c r="D57" s="150" t="s">
        <v>152</v>
      </c>
      <c r="E57" s="150" t="s">
        <v>153</v>
      </c>
      <c r="F57" s="150" t="s">
        <v>154</v>
      </c>
      <c r="G57" s="150" t="s">
        <v>155</v>
      </c>
      <c r="H57" s="150" t="s">
        <v>156</v>
      </c>
      <c r="I57" s="150" t="s">
        <v>157</v>
      </c>
      <c r="J57" s="150" t="s">
        <v>158</v>
      </c>
      <c r="L57" s="78"/>
      <c r="M57" s="78"/>
      <c r="N57" s="78"/>
      <c r="O57" s="78"/>
      <c r="P57" s="78"/>
      <c r="Q57" s="77"/>
      <c r="R57" s="78"/>
      <c r="S57" s="77"/>
    </row>
    <row r="58" spans="1:19" ht="15.75" x14ac:dyDescent="0.25">
      <c r="A58" s="139"/>
      <c r="B58" s="140"/>
      <c r="C58" s="160" t="s">
        <v>5</v>
      </c>
      <c r="D58" s="152" t="s">
        <v>62</v>
      </c>
      <c r="E58" s="152" t="s">
        <v>62</v>
      </c>
      <c r="F58" s="152" t="s">
        <v>62</v>
      </c>
      <c r="G58" s="155" t="s">
        <v>62</v>
      </c>
      <c r="H58" s="152" t="s">
        <v>62</v>
      </c>
      <c r="I58" s="152" t="s">
        <v>62</v>
      </c>
      <c r="J58" s="152" t="s">
        <v>62</v>
      </c>
      <c r="L58" s="78"/>
      <c r="M58" s="78"/>
      <c r="N58" s="78"/>
      <c r="O58" s="78"/>
      <c r="P58" s="78"/>
      <c r="Q58" s="77"/>
      <c r="R58" s="78"/>
      <c r="S58" s="77"/>
    </row>
    <row r="59" spans="1:19" ht="15.75" x14ac:dyDescent="0.25">
      <c r="A59" s="139"/>
      <c r="B59" s="140"/>
      <c r="C59" s="160" t="s">
        <v>64</v>
      </c>
      <c r="D59" s="159" t="s">
        <v>111</v>
      </c>
      <c r="E59" s="155" t="s">
        <v>111</v>
      </c>
      <c r="F59" s="152"/>
      <c r="G59" s="152" t="s">
        <v>71</v>
      </c>
      <c r="H59" s="152"/>
      <c r="I59" s="155" t="s">
        <v>111</v>
      </c>
      <c r="J59" s="152"/>
      <c r="L59" s="78"/>
      <c r="M59" s="78"/>
      <c r="N59" s="78"/>
      <c r="O59" s="78"/>
      <c r="P59" s="78"/>
      <c r="Q59" s="77"/>
      <c r="R59" s="78"/>
      <c r="S59" s="77"/>
    </row>
    <row r="60" spans="1:19" ht="15.75" x14ac:dyDescent="0.25">
      <c r="A60" s="139"/>
      <c r="B60" s="140"/>
      <c r="C60" s="161" t="s">
        <v>12</v>
      </c>
      <c r="D60" s="153"/>
      <c r="E60" s="153"/>
      <c r="F60" s="153"/>
      <c r="G60" s="154" t="s">
        <v>62</v>
      </c>
      <c r="H60" s="153"/>
      <c r="I60" s="153"/>
      <c r="J60" s="153"/>
      <c r="L60" s="78"/>
      <c r="M60" s="76"/>
      <c r="N60" s="76"/>
      <c r="O60" s="77"/>
      <c r="P60" s="77"/>
      <c r="Q60" s="77"/>
      <c r="R60" s="77"/>
      <c r="S60" s="77"/>
    </row>
    <row r="61" spans="1:19" ht="15.75" x14ac:dyDescent="0.25">
      <c r="A61" s="139"/>
      <c r="B61" s="140"/>
      <c r="C61" s="162" t="s">
        <v>15</v>
      </c>
      <c r="D61" s="153"/>
      <c r="E61" s="153"/>
      <c r="F61" s="153"/>
      <c r="G61" s="153"/>
      <c r="H61" s="153"/>
      <c r="I61" s="153"/>
      <c r="J61" s="153"/>
    </row>
    <row r="62" spans="1:19" ht="15.75" x14ac:dyDescent="0.25">
      <c r="A62" s="139"/>
      <c r="B62" s="140"/>
      <c r="C62" s="163" t="s">
        <v>17</v>
      </c>
      <c r="D62" s="153"/>
      <c r="E62" s="153"/>
      <c r="F62" s="153"/>
      <c r="G62" s="153"/>
      <c r="H62" s="153"/>
      <c r="I62" s="153"/>
      <c r="J62" s="153"/>
    </row>
    <row r="63" spans="1:19" ht="15.75" x14ac:dyDescent="0.25">
      <c r="A63" s="139"/>
      <c r="B63" s="140"/>
      <c r="C63" s="160" t="s">
        <v>18</v>
      </c>
      <c r="D63" s="152" t="s">
        <v>61</v>
      </c>
      <c r="E63" s="152" t="s">
        <v>61</v>
      </c>
      <c r="F63" s="152" t="s">
        <v>61</v>
      </c>
      <c r="G63" s="152" t="s">
        <v>61</v>
      </c>
      <c r="H63" s="155" t="s">
        <v>61</v>
      </c>
      <c r="I63" s="152" t="s">
        <v>61</v>
      </c>
      <c r="J63" s="152" t="s">
        <v>61</v>
      </c>
    </row>
    <row r="64" spans="1:19" ht="15.75" x14ac:dyDescent="0.25">
      <c r="A64" s="139"/>
      <c r="B64" s="140"/>
      <c r="C64" s="160"/>
      <c r="D64" s="152"/>
      <c r="E64" s="152"/>
      <c r="F64" s="152"/>
      <c r="G64" s="152"/>
      <c r="H64" s="155" t="s">
        <v>111</v>
      </c>
      <c r="I64" s="152"/>
      <c r="J64" s="155" t="s">
        <v>111</v>
      </c>
    </row>
    <row r="65" spans="1:14" ht="15.75" x14ac:dyDescent="0.25">
      <c r="A65" s="139"/>
      <c r="B65" s="140"/>
      <c r="C65" s="160"/>
      <c r="D65" s="152"/>
      <c r="E65" s="152"/>
      <c r="F65" s="152"/>
      <c r="G65" s="152"/>
      <c r="H65" s="152" t="s">
        <v>7</v>
      </c>
      <c r="I65" s="152"/>
      <c r="J65" s="155"/>
    </row>
    <row r="66" spans="1:14" ht="15.75" x14ac:dyDescent="0.25">
      <c r="A66" s="139"/>
      <c r="B66" s="140"/>
      <c r="C66" s="161" t="s">
        <v>12</v>
      </c>
      <c r="D66" s="156"/>
      <c r="E66" s="156"/>
      <c r="F66" s="156"/>
      <c r="G66" s="153"/>
      <c r="H66" s="154" t="s">
        <v>61</v>
      </c>
      <c r="I66" s="156"/>
      <c r="J66" s="153"/>
    </row>
    <row r="67" spans="1:14" ht="15.75" x14ac:dyDescent="0.25">
      <c r="A67" s="139"/>
      <c r="B67" s="140"/>
      <c r="C67" s="165" t="s">
        <v>15</v>
      </c>
      <c r="D67" s="156"/>
      <c r="E67" s="153"/>
      <c r="F67" s="153"/>
      <c r="G67" s="153"/>
      <c r="H67" s="166" t="s">
        <v>111</v>
      </c>
      <c r="I67" s="153"/>
      <c r="J67" s="153"/>
    </row>
    <row r="68" spans="1:14" ht="15.75" x14ac:dyDescent="0.25">
      <c r="A68" s="139"/>
      <c r="B68" s="74"/>
      <c r="C68" s="163" t="s">
        <v>17</v>
      </c>
      <c r="D68" s="153"/>
      <c r="E68" s="153"/>
      <c r="F68" s="153"/>
      <c r="G68" s="153"/>
      <c r="H68" s="153"/>
      <c r="I68" s="153"/>
      <c r="J68" s="153"/>
    </row>
    <row r="69" spans="1:14" ht="15.75" x14ac:dyDescent="0.25">
      <c r="A69" s="74"/>
      <c r="B69" s="74"/>
      <c r="D69" s="52"/>
      <c r="E69" s="52"/>
      <c r="F69" s="52"/>
      <c r="G69" s="52"/>
      <c r="H69" s="52"/>
      <c r="I69" s="52"/>
      <c r="J69" s="52"/>
      <c r="N69" s="50"/>
    </row>
  </sheetData>
  <mergeCells count="12">
    <mergeCell ref="C2:J2"/>
    <mergeCell ref="C3:J3"/>
    <mergeCell ref="A7:A17"/>
    <mergeCell ref="B7:B15"/>
    <mergeCell ref="A57:A68"/>
    <mergeCell ref="B57:B67"/>
    <mergeCell ref="A19:A30"/>
    <mergeCell ref="B19:B29"/>
    <mergeCell ref="A32:A43"/>
    <mergeCell ref="B32:B42"/>
    <mergeCell ref="A45:A55"/>
    <mergeCell ref="B45:B54"/>
  </mergeCells>
  <pageMargins left="0.70866141732283472" right="0.70866141732283472" top="0.74803149606299213" bottom="0.74803149606299213" header="0.31496062992125984" footer="0.31496062992125984"/>
  <pageSetup paperSize="9" scale="2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60D7-F763-284D-AE5E-402E6E2BE059}">
  <dimension ref="A2:R150"/>
  <sheetViews>
    <sheetView showGridLines="0" topLeftCell="A96" workbookViewId="0">
      <selection activeCell="H106" sqref="H106"/>
    </sheetView>
  </sheetViews>
  <sheetFormatPr baseColWidth="10" defaultColWidth="9.125" defaultRowHeight="15.75" x14ac:dyDescent="0.25"/>
  <cols>
    <col min="2" max="2" width="11.5" customWidth="1"/>
    <col min="3" max="3" width="13.875" customWidth="1"/>
    <col min="4" max="4" width="16.375" customWidth="1"/>
    <col min="5" max="5" width="13.875" customWidth="1"/>
    <col min="6" max="6" width="16.125" customWidth="1"/>
    <col min="7" max="7" width="15.5" customWidth="1"/>
    <col min="8" max="8" width="17.375" customWidth="1"/>
    <col min="9" max="9" width="15.5" bestFit="1" customWidth="1"/>
    <col min="10" max="10" width="14" customWidth="1"/>
    <col min="11" max="11" width="16.875" customWidth="1"/>
    <col min="12" max="13" width="12.5" bestFit="1" customWidth="1"/>
    <col min="14" max="14" width="17.375" customWidth="1"/>
    <col min="15" max="15" width="8.875" customWidth="1"/>
    <col min="16" max="16" width="7.5" bestFit="1" customWidth="1"/>
    <col min="17" max="17" width="7" bestFit="1" customWidth="1"/>
    <col min="18" max="18" width="7.375" bestFit="1" customWidth="1"/>
    <col min="19" max="19" width="8.125" bestFit="1" customWidth="1"/>
    <col min="21" max="24" width="6.5" customWidth="1"/>
  </cols>
  <sheetData>
    <row r="2" spans="1:17" ht="21" customHeight="1" x14ac:dyDescent="0.35">
      <c r="B2" s="102" t="s">
        <v>0</v>
      </c>
      <c r="C2" s="102"/>
      <c r="D2" s="102"/>
      <c r="E2" s="102"/>
      <c r="F2" s="102"/>
      <c r="G2" s="102"/>
      <c r="H2" s="102"/>
      <c r="I2" s="102"/>
      <c r="K2" s="1"/>
    </row>
    <row r="3" spans="1:17" ht="18.75" customHeight="1" x14ac:dyDescent="0.3">
      <c r="B3" s="103" t="s">
        <v>159</v>
      </c>
      <c r="C3" s="103"/>
      <c r="D3" s="103"/>
      <c r="E3" s="103"/>
      <c r="F3" s="103"/>
      <c r="G3" s="103"/>
      <c r="H3" s="103"/>
      <c r="I3" s="103"/>
      <c r="K3" s="1"/>
    </row>
    <row r="5" spans="1:17" ht="18.75" x14ac:dyDescent="0.3">
      <c r="B5" s="3" t="s">
        <v>104</v>
      </c>
    </row>
    <row r="6" spans="1:17" x14ac:dyDescent="0.25">
      <c r="L6" s="4"/>
      <c r="M6" s="4"/>
      <c r="N6" s="4"/>
      <c r="O6" s="4"/>
      <c r="P6" s="4"/>
    </row>
    <row r="7" spans="1:17" hidden="1" x14ac:dyDescent="0.25">
      <c r="A7" s="111" t="s">
        <v>2</v>
      </c>
      <c r="B7" s="6" t="s">
        <v>3</v>
      </c>
      <c r="C7" s="6"/>
      <c r="D7" s="6"/>
      <c r="E7" s="6" t="s">
        <v>23</v>
      </c>
      <c r="F7" s="43" t="s">
        <v>24</v>
      </c>
      <c r="G7" s="43" t="s">
        <v>25</v>
      </c>
      <c r="H7" s="43" t="s">
        <v>44</v>
      </c>
      <c r="I7" s="6" t="s">
        <v>26</v>
      </c>
      <c r="L7" t="s">
        <v>39</v>
      </c>
    </row>
    <row r="8" spans="1:17" hidden="1" x14ac:dyDescent="0.25">
      <c r="A8" s="111"/>
      <c r="B8" s="133" t="s">
        <v>5</v>
      </c>
      <c r="C8" s="9"/>
      <c r="D8" s="10"/>
      <c r="E8" s="10" t="s">
        <v>107</v>
      </c>
      <c r="F8" s="10" t="s">
        <v>105</v>
      </c>
      <c r="G8" s="9" t="s">
        <v>105</v>
      </c>
      <c r="H8" s="9" t="s">
        <v>105</v>
      </c>
      <c r="I8" s="9" t="s">
        <v>105</v>
      </c>
      <c r="L8" s="5" t="s">
        <v>40</v>
      </c>
      <c r="M8" s="5" t="s">
        <v>41</v>
      </c>
      <c r="N8" s="4" t="s">
        <v>42</v>
      </c>
      <c r="O8" t="s">
        <v>43</v>
      </c>
      <c r="P8" s="42">
        <v>46143</v>
      </c>
    </row>
    <row r="9" spans="1:17" hidden="1" x14ac:dyDescent="0.25">
      <c r="A9" s="111"/>
      <c r="B9" s="134"/>
      <c r="C9" s="9"/>
      <c r="D9" s="9"/>
      <c r="E9" s="9" t="s">
        <v>112</v>
      </c>
      <c r="F9" s="9" t="s">
        <v>112</v>
      </c>
      <c r="G9" s="79" t="s">
        <v>112</v>
      </c>
      <c r="H9" s="79" t="s">
        <v>112</v>
      </c>
      <c r="I9" s="9" t="s">
        <v>112</v>
      </c>
      <c r="K9" s="7" t="s">
        <v>108</v>
      </c>
      <c r="L9" s="24">
        <v>46088</v>
      </c>
      <c r="M9" s="24">
        <v>46115</v>
      </c>
      <c r="N9" s="44">
        <v>46130</v>
      </c>
      <c r="O9" s="4"/>
      <c r="Q9">
        <v>2</v>
      </c>
    </row>
    <row r="10" spans="1:17" hidden="1" x14ac:dyDescent="0.25">
      <c r="A10" s="111"/>
      <c r="B10" s="134"/>
      <c r="C10" s="9"/>
      <c r="D10" s="9"/>
      <c r="E10" s="10" t="s">
        <v>106</v>
      </c>
      <c r="F10" s="10" t="s">
        <v>106</v>
      </c>
      <c r="G10" s="80" t="s">
        <v>106</v>
      </c>
      <c r="H10" s="80" t="s">
        <v>106</v>
      </c>
      <c r="I10" s="10" t="s">
        <v>106</v>
      </c>
      <c r="K10" s="11" t="s">
        <v>110</v>
      </c>
      <c r="L10" s="12">
        <v>46102</v>
      </c>
      <c r="M10" s="12">
        <v>46115</v>
      </c>
      <c r="N10" s="44">
        <v>46144</v>
      </c>
      <c r="O10" s="11"/>
      <c r="Q10">
        <v>2</v>
      </c>
    </row>
    <row r="11" spans="1:17" hidden="1" x14ac:dyDescent="0.25">
      <c r="A11" s="111"/>
      <c r="B11" s="134"/>
      <c r="C11" s="9"/>
      <c r="D11" s="9"/>
      <c r="E11" s="9" t="s">
        <v>111</v>
      </c>
      <c r="F11" s="9" t="s">
        <v>107</v>
      </c>
      <c r="G11" s="80"/>
      <c r="H11" s="80"/>
      <c r="I11" s="10"/>
      <c r="L11" s="12"/>
      <c r="M11" s="12"/>
      <c r="N11" s="44"/>
      <c r="O11" s="4"/>
    </row>
    <row r="12" spans="1:17" hidden="1" x14ac:dyDescent="0.25">
      <c r="A12" s="111"/>
      <c r="B12" s="134"/>
      <c r="C12" s="9"/>
      <c r="D12" s="9"/>
      <c r="E12" s="9" t="s">
        <v>109</v>
      </c>
      <c r="F12" s="9" t="s">
        <v>109</v>
      </c>
      <c r="G12" s="80" t="s">
        <v>109</v>
      </c>
      <c r="H12" s="9"/>
      <c r="I12" s="9"/>
      <c r="K12" s="7" t="s">
        <v>112</v>
      </c>
      <c r="L12" s="13">
        <v>46109</v>
      </c>
      <c r="M12" s="13">
        <v>46116</v>
      </c>
      <c r="N12" s="44">
        <v>46143</v>
      </c>
      <c r="O12" s="4"/>
      <c r="Q12">
        <v>2</v>
      </c>
    </row>
    <row r="13" spans="1:17" hidden="1" x14ac:dyDescent="0.25">
      <c r="A13" s="111"/>
      <c r="B13" s="135"/>
      <c r="C13" s="9"/>
      <c r="D13" s="9"/>
      <c r="E13" s="9"/>
      <c r="F13" s="9"/>
      <c r="G13" s="9"/>
      <c r="H13" s="9"/>
      <c r="I13" s="9"/>
      <c r="K13" s="11" t="s">
        <v>107</v>
      </c>
      <c r="L13" s="14">
        <v>46108</v>
      </c>
      <c r="M13" s="14">
        <v>46123</v>
      </c>
      <c r="N13" s="4"/>
      <c r="O13" s="4"/>
      <c r="Q13">
        <v>3</v>
      </c>
    </row>
    <row r="14" spans="1:17" hidden="1" x14ac:dyDescent="0.25">
      <c r="A14" s="111"/>
      <c r="B14" s="126" t="s">
        <v>12</v>
      </c>
      <c r="C14" s="19"/>
      <c r="D14" s="18"/>
      <c r="E14" s="18" t="s">
        <v>107</v>
      </c>
      <c r="F14" s="18" t="s">
        <v>105</v>
      </c>
      <c r="G14" s="19"/>
      <c r="H14" s="19"/>
      <c r="I14" s="18" t="s">
        <v>106</v>
      </c>
      <c r="K14" s="7" t="s">
        <v>105</v>
      </c>
      <c r="L14" s="13">
        <v>46095</v>
      </c>
      <c r="M14" s="13">
        <v>46116</v>
      </c>
      <c r="N14" s="44">
        <v>46136</v>
      </c>
      <c r="O14" s="4"/>
      <c r="Q14">
        <v>2</v>
      </c>
    </row>
    <row r="15" spans="1:17" hidden="1" x14ac:dyDescent="0.25">
      <c r="A15" s="111"/>
      <c r="B15" s="127"/>
      <c r="C15" s="19"/>
      <c r="D15" s="28"/>
      <c r="E15" s="23"/>
      <c r="F15" s="23"/>
      <c r="G15" s="23"/>
      <c r="H15" s="19"/>
      <c r="I15" s="19"/>
      <c r="K15" s="11" t="s">
        <v>106</v>
      </c>
      <c r="L15" s="14">
        <v>46094</v>
      </c>
      <c r="M15" s="14">
        <v>46122</v>
      </c>
      <c r="N15" s="4"/>
      <c r="O15" s="4"/>
      <c r="Q15">
        <v>3</v>
      </c>
    </row>
    <row r="16" spans="1:17" hidden="1" x14ac:dyDescent="0.25">
      <c r="A16" s="111"/>
      <c r="B16" s="32" t="s">
        <v>15</v>
      </c>
      <c r="C16" s="19"/>
      <c r="D16" s="19"/>
      <c r="E16" s="23"/>
      <c r="F16" s="23"/>
      <c r="G16" s="22" t="s">
        <v>109</v>
      </c>
      <c r="H16" s="23"/>
      <c r="I16" s="19"/>
      <c r="K16" s="7" t="s">
        <v>109</v>
      </c>
      <c r="L16" s="13">
        <v>46101</v>
      </c>
      <c r="M16" s="13">
        <v>46129</v>
      </c>
      <c r="N16" s="44">
        <v>46137</v>
      </c>
      <c r="O16" s="4"/>
      <c r="Q16">
        <v>2</v>
      </c>
    </row>
    <row r="17" spans="1:15" hidden="1" x14ac:dyDescent="0.25">
      <c r="A17" s="111"/>
      <c r="B17" s="25" t="s">
        <v>17</v>
      </c>
      <c r="C17" s="19"/>
      <c r="D17" s="19"/>
      <c r="E17" s="23"/>
      <c r="F17" s="23"/>
      <c r="G17" s="23"/>
      <c r="H17" s="23"/>
      <c r="I17" s="19"/>
      <c r="L17" s="12"/>
      <c r="M17" s="12"/>
      <c r="N17" s="4"/>
      <c r="O17" s="4"/>
    </row>
    <row r="18" spans="1:15" hidden="1" x14ac:dyDescent="0.25">
      <c r="A18" s="111"/>
      <c r="B18" s="133" t="s">
        <v>18</v>
      </c>
      <c r="C18" s="9"/>
      <c r="D18" s="9"/>
      <c r="E18" s="9" t="s">
        <v>105</v>
      </c>
      <c r="F18" s="9" t="s">
        <v>107</v>
      </c>
      <c r="G18" s="9" t="s">
        <v>107</v>
      </c>
      <c r="H18" s="9" t="s">
        <v>109</v>
      </c>
      <c r="I18" s="10" t="s">
        <v>109</v>
      </c>
      <c r="K18" s="7"/>
      <c r="L18" s="24"/>
      <c r="M18" s="24"/>
      <c r="N18" s="4"/>
      <c r="O18" s="4"/>
    </row>
    <row r="19" spans="1:15" hidden="1" x14ac:dyDescent="0.25">
      <c r="A19" s="111"/>
      <c r="B19" s="134"/>
      <c r="C19" s="9"/>
      <c r="D19" s="9"/>
      <c r="E19" s="9" t="s">
        <v>108</v>
      </c>
      <c r="F19" s="9" t="s">
        <v>108</v>
      </c>
      <c r="G19" s="10" t="s">
        <v>108</v>
      </c>
      <c r="H19" s="10" t="s">
        <v>107</v>
      </c>
      <c r="I19" s="9" t="s">
        <v>107</v>
      </c>
      <c r="L19" s="4"/>
      <c r="M19" s="4"/>
      <c r="N19" s="4"/>
      <c r="O19" s="4"/>
    </row>
    <row r="20" spans="1:15" hidden="1" x14ac:dyDescent="0.25">
      <c r="A20" s="111"/>
      <c r="B20" s="134"/>
      <c r="C20" s="9"/>
      <c r="D20" s="9"/>
      <c r="E20" s="9" t="s">
        <v>110</v>
      </c>
      <c r="F20" s="9" t="s">
        <v>110</v>
      </c>
      <c r="G20" s="9" t="s">
        <v>110</v>
      </c>
      <c r="H20" s="9" t="s">
        <v>108</v>
      </c>
      <c r="I20" s="10" t="s">
        <v>108</v>
      </c>
      <c r="L20" s="11"/>
    </row>
    <row r="21" spans="1:15" hidden="1" x14ac:dyDescent="0.25">
      <c r="A21" s="111"/>
      <c r="B21" s="134"/>
      <c r="C21" s="10"/>
      <c r="D21" s="9"/>
      <c r="E21" s="9"/>
      <c r="F21" s="9"/>
      <c r="G21" s="9"/>
      <c r="H21" s="10" t="s">
        <v>110</v>
      </c>
      <c r="I21" s="9" t="s">
        <v>110</v>
      </c>
      <c r="L21" s="11"/>
    </row>
    <row r="22" spans="1:15" hidden="1" x14ac:dyDescent="0.25">
      <c r="A22" s="111"/>
      <c r="B22" s="135"/>
      <c r="C22" s="9"/>
      <c r="D22" s="9"/>
      <c r="E22" s="9"/>
      <c r="F22" s="9"/>
      <c r="G22" s="9"/>
      <c r="H22" s="9"/>
      <c r="I22" s="9"/>
      <c r="L22" s="11"/>
    </row>
    <row r="23" spans="1:15" hidden="1" x14ac:dyDescent="0.25">
      <c r="A23" s="111"/>
      <c r="B23" s="136" t="s">
        <v>12</v>
      </c>
      <c r="C23" s="18"/>
      <c r="D23" s="27"/>
      <c r="E23" s="27"/>
      <c r="F23" s="27"/>
      <c r="G23" s="19"/>
      <c r="H23" s="19"/>
      <c r="I23" s="18" t="s">
        <v>109</v>
      </c>
    </row>
    <row r="24" spans="1:15" hidden="1" x14ac:dyDescent="0.25">
      <c r="A24" s="111"/>
      <c r="B24" s="138"/>
      <c r="C24" s="27"/>
      <c r="D24" s="27"/>
      <c r="E24" s="27"/>
      <c r="F24" s="27"/>
      <c r="G24" s="27"/>
      <c r="H24" s="29"/>
      <c r="I24" s="18" t="s">
        <v>108</v>
      </c>
    </row>
    <row r="25" spans="1:15" hidden="1" x14ac:dyDescent="0.25">
      <c r="A25" s="111"/>
      <c r="B25" s="22" t="s">
        <v>15</v>
      </c>
      <c r="C25" s="19"/>
      <c r="D25" s="30"/>
      <c r="E25" s="27"/>
      <c r="F25" s="27"/>
      <c r="G25" s="22" t="s">
        <v>108</v>
      </c>
      <c r="H25" s="22" t="s">
        <v>107</v>
      </c>
      <c r="I25" s="19"/>
    </row>
    <row r="26" spans="1:15" hidden="1" x14ac:dyDescent="0.25">
      <c r="A26" s="111"/>
      <c r="B26" s="22"/>
      <c r="C26" s="19"/>
      <c r="D26" s="30"/>
      <c r="E26" s="27"/>
      <c r="F26" s="27"/>
      <c r="G26" s="27"/>
      <c r="H26" s="65" t="s">
        <v>110</v>
      </c>
      <c r="I26" s="19"/>
    </row>
    <row r="27" spans="1:15" hidden="1" x14ac:dyDescent="0.25">
      <c r="A27" s="111"/>
      <c r="B27" s="25" t="s">
        <v>17</v>
      </c>
      <c r="C27" s="19"/>
      <c r="D27" s="30"/>
      <c r="E27" s="27"/>
      <c r="F27" s="27"/>
      <c r="G27" s="27"/>
      <c r="H27" s="29"/>
      <c r="I27" s="19"/>
    </row>
    <row r="28" spans="1:15" x14ac:dyDescent="0.25">
      <c r="B28" s="4"/>
      <c r="C28" s="15">
        <f t="shared" ref="C28:I28" si="0">COUNTA(C8:C13,C18:C22)</f>
        <v>0</v>
      </c>
      <c r="D28" s="15">
        <f t="shared" si="0"/>
        <v>0</v>
      </c>
      <c r="E28" s="15">
        <f t="shared" si="0"/>
        <v>8</v>
      </c>
      <c r="F28" s="15">
        <f t="shared" si="0"/>
        <v>8</v>
      </c>
      <c r="G28" s="15">
        <f t="shared" si="0"/>
        <v>7</v>
      </c>
      <c r="H28" s="15">
        <f t="shared" si="0"/>
        <v>7</v>
      </c>
      <c r="I28" s="15">
        <f t="shared" si="0"/>
        <v>7</v>
      </c>
    </row>
    <row r="29" spans="1:15" x14ac:dyDescent="0.25">
      <c r="A29" s="111" t="s">
        <v>2</v>
      </c>
      <c r="B29" s="6" t="s">
        <v>3</v>
      </c>
      <c r="C29" s="6"/>
      <c r="D29" s="6"/>
      <c r="E29" s="6" t="s">
        <v>99</v>
      </c>
      <c r="F29" s="6" t="s">
        <v>100</v>
      </c>
      <c r="G29" s="6" t="s">
        <v>101</v>
      </c>
      <c r="H29" s="6" t="s">
        <v>102</v>
      </c>
      <c r="I29" s="6" t="s">
        <v>103</v>
      </c>
    </row>
    <row r="30" spans="1:15" x14ac:dyDescent="0.25">
      <c r="A30" s="111"/>
      <c r="B30" s="123" t="s">
        <v>5</v>
      </c>
      <c r="C30" s="9"/>
      <c r="D30" s="54"/>
      <c r="E30" s="54" t="s">
        <v>110</v>
      </c>
      <c r="F30" s="54" t="s">
        <v>112</v>
      </c>
      <c r="G30" s="9" t="s">
        <v>112</v>
      </c>
      <c r="H30" s="9" t="s">
        <v>112</v>
      </c>
      <c r="I30" s="9" t="s">
        <v>112</v>
      </c>
    </row>
    <row r="31" spans="1:15" x14ac:dyDescent="0.25">
      <c r="A31" s="111"/>
      <c r="B31" s="124"/>
      <c r="C31" s="9"/>
      <c r="D31" s="9"/>
      <c r="E31" s="54" t="s">
        <v>108</v>
      </c>
      <c r="F31" s="54" t="s">
        <v>108</v>
      </c>
      <c r="G31" s="86" t="s">
        <v>108</v>
      </c>
      <c r="H31" s="86" t="s">
        <v>108</v>
      </c>
      <c r="I31" s="54" t="s">
        <v>108</v>
      </c>
    </row>
    <row r="32" spans="1:15" x14ac:dyDescent="0.25">
      <c r="A32" s="111"/>
      <c r="B32" s="124"/>
      <c r="C32" s="9"/>
      <c r="D32" s="9"/>
      <c r="E32" s="9" t="s">
        <v>107</v>
      </c>
      <c r="F32" s="9" t="s">
        <v>107</v>
      </c>
      <c r="G32" s="79" t="s">
        <v>107</v>
      </c>
      <c r="H32" s="79" t="s">
        <v>107</v>
      </c>
      <c r="I32" s="54" t="s">
        <v>107</v>
      </c>
    </row>
    <row r="33" spans="1:18" x14ac:dyDescent="0.25">
      <c r="A33" s="111"/>
      <c r="B33" s="124"/>
      <c r="C33" s="9"/>
      <c r="D33" s="9"/>
      <c r="E33" s="9" t="s">
        <v>105</v>
      </c>
      <c r="F33" s="9" t="s">
        <v>105</v>
      </c>
      <c r="G33" s="79" t="s">
        <v>105</v>
      </c>
      <c r="H33" s="9"/>
      <c r="I33" s="9"/>
    </row>
    <row r="34" spans="1:18" x14ac:dyDescent="0.25">
      <c r="A34" s="111"/>
      <c r="B34" s="125"/>
      <c r="C34" s="9"/>
      <c r="D34" s="54"/>
      <c r="E34" s="9" t="s">
        <v>14</v>
      </c>
      <c r="F34" s="9" t="s">
        <v>14</v>
      </c>
      <c r="G34" s="9" t="s">
        <v>14</v>
      </c>
      <c r="H34" s="9" t="s">
        <v>14</v>
      </c>
      <c r="I34" s="9" t="s">
        <v>14</v>
      </c>
    </row>
    <row r="35" spans="1:18" x14ac:dyDescent="0.25">
      <c r="A35" s="111"/>
      <c r="B35" s="126" t="s">
        <v>12</v>
      </c>
      <c r="C35" s="19"/>
      <c r="D35" s="28"/>
      <c r="E35" s="18" t="s">
        <v>110</v>
      </c>
      <c r="F35" s="18" t="s">
        <v>112</v>
      </c>
      <c r="G35" s="19"/>
      <c r="H35" s="19"/>
      <c r="I35" s="18" t="s">
        <v>107</v>
      </c>
    </row>
    <row r="36" spans="1:18" x14ac:dyDescent="0.25">
      <c r="A36" s="111"/>
      <c r="B36" s="127"/>
      <c r="C36" s="19"/>
      <c r="D36" s="28"/>
      <c r="E36" s="23"/>
      <c r="F36" s="23"/>
      <c r="G36" s="23"/>
      <c r="H36" s="19"/>
      <c r="I36" s="19"/>
    </row>
    <row r="37" spans="1:18" x14ac:dyDescent="0.25">
      <c r="A37" s="111"/>
      <c r="B37" s="22" t="s">
        <v>15</v>
      </c>
      <c r="C37" s="19"/>
      <c r="D37" s="19"/>
      <c r="E37" s="23"/>
      <c r="F37" s="23"/>
      <c r="G37" s="23"/>
      <c r="H37" s="23"/>
      <c r="I37" s="19"/>
    </row>
    <row r="38" spans="1:18" x14ac:dyDescent="0.25">
      <c r="A38" s="111"/>
      <c r="B38" s="25" t="s">
        <v>17</v>
      </c>
      <c r="C38" s="19"/>
      <c r="D38" s="19"/>
      <c r="E38" s="23"/>
      <c r="F38" s="23"/>
      <c r="G38" s="23"/>
      <c r="H38" s="23"/>
      <c r="I38" s="19"/>
    </row>
    <row r="39" spans="1:18" x14ac:dyDescent="0.25">
      <c r="A39" s="111"/>
      <c r="B39" s="123" t="s">
        <v>18</v>
      </c>
      <c r="C39" s="9"/>
      <c r="D39" s="9"/>
      <c r="E39" s="9" t="s">
        <v>112</v>
      </c>
      <c r="F39" s="9" t="s">
        <v>110</v>
      </c>
      <c r="G39" s="9" t="s">
        <v>110</v>
      </c>
      <c r="H39" s="9" t="s">
        <v>105</v>
      </c>
      <c r="I39" s="54" t="s">
        <v>105</v>
      </c>
    </row>
    <row r="40" spans="1:18" x14ac:dyDescent="0.25">
      <c r="A40" s="111"/>
      <c r="B40" s="124"/>
      <c r="C40" s="9"/>
      <c r="D40" s="9"/>
      <c r="E40" s="9" t="s">
        <v>106</v>
      </c>
      <c r="F40" s="9" t="s">
        <v>106</v>
      </c>
      <c r="G40" s="9" t="s">
        <v>106</v>
      </c>
      <c r="H40" s="9" t="s">
        <v>110</v>
      </c>
      <c r="I40" s="9" t="s">
        <v>110</v>
      </c>
    </row>
    <row r="41" spans="1:18" x14ac:dyDescent="0.25">
      <c r="A41" s="111"/>
      <c r="B41" s="124"/>
      <c r="C41" s="9"/>
      <c r="D41" s="9"/>
      <c r="E41" s="9" t="s">
        <v>109</v>
      </c>
      <c r="F41" s="9" t="s">
        <v>109</v>
      </c>
      <c r="G41" s="9" t="s">
        <v>109</v>
      </c>
      <c r="H41" s="9" t="s">
        <v>106</v>
      </c>
      <c r="I41" s="54" t="s">
        <v>106</v>
      </c>
    </row>
    <row r="42" spans="1:18" x14ac:dyDescent="0.25">
      <c r="A42" s="111"/>
      <c r="B42" s="124"/>
      <c r="C42" s="10"/>
      <c r="D42" s="9"/>
      <c r="E42" s="9"/>
      <c r="F42" s="9"/>
      <c r="G42" s="9"/>
      <c r="H42" s="9" t="s">
        <v>109</v>
      </c>
      <c r="I42" s="9" t="s">
        <v>109</v>
      </c>
    </row>
    <row r="43" spans="1:18" x14ac:dyDescent="0.25">
      <c r="A43" s="111"/>
      <c r="B43" s="125"/>
      <c r="C43" s="9"/>
      <c r="D43" s="9"/>
      <c r="E43" s="9"/>
      <c r="F43" s="9"/>
      <c r="G43" s="9"/>
      <c r="H43" s="9"/>
      <c r="I43" s="9"/>
    </row>
    <row r="44" spans="1:18" x14ac:dyDescent="0.25">
      <c r="A44" s="111"/>
      <c r="B44" s="126" t="s">
        <v>12</v>
      </c>
      <c r="C44" s="27"/>
      <c r="D44" s="27"/>
      <c r="E44" s="27"/>
      <c r="F44" s="27"/>
      <c r="G44" s="19"/>
      <c r="H44" s="19"/>
      <c r="I44" s="18" t="s">
        <v>105</v>
      </c>
    </row>
    <row r="45" spans="1:18" x14ac:dyDescent="0.25">
      <c r="A45" s="111"/>
      <c r="B45" s="127"/>
      <c r="C45" s="27"/>
      <c r="D45" s="27"/>
      <c r="E45" s="27"/>
      <c r="F45" s="27"/>
      <c r="G45" s="27"/>
      <c r="H45" s="29"/>
      <c r="I45" s="18" t="s">
        <v>106</v>
      </c>
    </row>
    <row r="46" spans="1:18" x14ac:dyDescent="0.25">
      <c r="A46" s="111"/>
      <c r="B46" s="22" t="s">
        <v>15</v>
      </c>
      <c r="C46" s="19"/>
      <c r="D46" s="30"/>
      <c r="E46" s="27"/>
      <c r="F46" s="27"/>
      <c r="G46" s="27"/>
      <c r="H46" s="29"/>
      <c r="I46" s="19"/>
    </row>
    <row r="47" spans="1:18" x14ac:dyDescent="0.25">
      <c r="A47" s="111"/>
      <c r="B47" s="25" t="s">
        <v>17</v>
      </c>
      <c r="C47" s="87" t="s">
        <v>108</v>
      </c>
      <c r="D47" s="87" t="s">
        <v>108</v>
      </c>
      <c r="E47" s="87" t="s">
        <v>108</v>
      </c>
      <c r="F47" s="87" t="s">
        <v>108</v>
      </c>
      <c r="G47" s="87" t="s">
        <v>108</v>
      </c>
      <c r="H47" s="87" t="s">
        <v>108</v>
      </c>
      <c r="I47" s="87" t="s">
        <v>108</v>
      </c>
    </row>
    <row r="48" spans="1:18" x14ac:dyDescent="0.25">
      <c r="B48" s="4"/>
      <c r="C48" s="15">
        <f>COUNTA(C30:C38,C43:C47)</f>
        <v>1</v>
      </c>
      <c r="D48" s="15">
        <f>COUNTA(D30:D38,D43:D47)</f>
        <v>1</v>
      </c>
      <c r="E48" s="15">
        <f>COUNTA(E30:E38,E43:E47)</f>
        <v>7</v>
      </c>
      <c r="F48" s="15">
        <f>COUNTA(F30:F38,F43:F47)</f>
        <v>7</v>
      </c>
      <c r="G48" s="15">
        <f>COUNTA(G30:G38,G43:G47)</f>
        <v>6</v>
      </c>
      <c r="H48" s="15">
        <f>COUNTA(H30:H38,H43:H47)</f>
        <v>5</v>
      </c>
      <c r="I48" s="15">
        <f>COUNTA(I30:I38,I43:I47)</f>
        <v>8</v>
      </c>
    </row>
    <row r="49" spans="1:9" ht="15.75" customHeight="1" x14ac:dyDescent="0.25">
      <c r="A49" s="143" t="s">
        <v>19</v>
      </c>
      <c r="B49" s="6" t="s">
        <v>3</v>
      </c>
      <c r="C49" s="6" t="s">
        <v>130</v>
      </c>
      <c r="D49" s="6" t="s">
        <v>132</v>
      </c>
      <c r="E49" s="6" t="s">
        <v>133</v>
      </c>
      <c r="F49" s="6" t="s">
        <v>134</v>
      </c>
      <c r="G49" s="6" t="s">
        <v>135</v>
      </c>
      <c r="H49" s="6" t="s">
        <v>136</v>
      </c>
      <c r="I49" s="6" t="s">
        <v>137</v>
      </c>
    </row>
    <row r="50" spans="1:9" x14ac:dyDescent="0.25">
      <c r="A50" s="143"/>
      <c r="B50" s="144" t="s">
        <v>5</v>
      </c>
      <c r="C50" s="9" t="s">
        <v>112</v>
      </c>
      <c r="D50" s="56" t="s">
        <v>109</v>
      </c>
      <c r="E50" s="56" t="s">
        <v>108</v>
      </c>
      <c r="F50" s="56" t="s">
        <v>110</v>
      </c>
      <c r="G50" s="9" t="s">
        <v>110</v>
      </c>
      <c r="H50" s="9" t="s">
        <v>110</v>
      </c>
      <c r="I50" s="56" t="s">
        <v>110</v>
      </c>
    </row>
    <row r="51" spans="1:9" x14ac:dyDescent="0.25">
      <c r="A51" s="143"/>
      <c r="B51" s="145"/>
      <c r="C51" s="9" t="s">
        <v>110</v>
      </c>
      <c r="D51" s="9" t="s">
        <v>112</v>
      </c>
      <c r="E51" s="9" t="s">
        <v>109</v>
      </c>
      <c r="F51" s="9" t="s">
        <v>109</v>
      </c>
      <c r="G51" s="79" t="s">
        <v>109</v>
      </c>
      <c r="H51" s="79" t="s">
        <v>109</v>
      </c>
      <c r="I51" s="9" t="s">
        <v>109</v>
      </c>
    </row>
    <row r="52" spans="1:9" x14ac:dyDescent="0.25">
      <c r="A52" s="143"/>
      <c r="B52" s="145"/>
      <c r="C52" s="9" t="s">
        <v>107</v>
      </c>
      <c r="D52" s="56" t="s">
        <v>110</v>
      </c>
      <c r="E52" s="9" t="s">
        <v>112</v>
      </c>
      <c r="F52" s="9" t="s">
        <v>112</v>
      </c>
      <c r="G52" s="79" t="s">
        <v>112</v>
      </c>
      <c r="H52" s="79" t="s">
        <v>112</v>
      </c>
      <c r="I52" s="56" t="s">
        <v>112</v>
      </c>
    </row>
    <row r="53" spans="1:9" x14ac:dyDescent="0.25">
      <c r="A53" s="143"/>
      <c r="B53" s="145"/>
      <c r="C53" s="9"/>
      <c r="D53" s="9" t="s">
        <v>14</v>
      </c>
      <c r="E53" s="9" t="s">
        <v>14</v>
      </c>
      <c r="F53" s="56" t="s">
        <v>14</v>
      </c>
      <c r="G53" s="9" t="s">
        <v>14</v>
      </c>
      <c r="H53" s="9" t="s">
        <v>14</v>
      </c>
      <c r="I53" s="9" t="s">
        <v>14</v>
      </c>
    </row>
    <row r="54" spans="1:9" x14ac:dyDescent="0.25">
      <c r="A54" s="143"/>
      <c r="B54" s="145"/>
      <c r="C54" s="9"/>
      <c r="D54" s="9" t="s">
        <v>107</v>
      </c>
      <c r="E54" s="9" t="s">
        <v>107</v>
      </c>
      <c r="F54" s="9" t="s">
        <v>107</v>
      </c>
      <c r="G54" s="142" t="s">
        <v>107</v>
      </c>
      <c r="H54" s="9"/>
      <c r="I54" s="9"/>
    </row>
    <row r="55" spans="1:9" x14ac:dyDescent="0.25">
      <c r="A55" s="143"/>
      <c r="B55" s="146"/>
      <c r="C55" s="9"/>
      <c r="D55" s="9"/>
      <c r="E55" s="9"/>
      <c r="F55" s="9"/>
      <c r="G55" s="9"/>
      <c r="H55" s="9"/>
      <c r="I55" s="9"/>
    </row>
    <row r="56" spans="1:9" x14ac:dyDescent="0.25">
      <c r="A56" s="143"/>
      <c r="B56" s="147" t="s">
        <v>12</v>
      </c>
      <c r="C56" s="19"/>
      <c r="D56" s="18" t="s">
        <v>109</v>
      </c>
      <c r="E56" s="18" t="s">
        <v>108</v>
      </c>
      <c r="F56" s="18" t="s">
        <v>14</v>
      </c>
      <c r="G56" s="19"/>
      <c r="H56" s="19"/>
      <c r="I56" s="18" t="s">
        <v>112</v>
      </c>
    </row>
    <row r="57" spans="1:9" x14ac:dyDescent="0.25">
      <c r="A57" s="143"/>
      <c r="B57" s="148"/>
      <c r="C57" s="19"/>
      <c r="D57" s="19"/>
      <c r="E57" s="28"/>
      <c r="F57" s="19"/>
      <c r="G57" s="19"/>
      <c r="H57" s="19"/>
      <c r="I57" s="19"/>
    </row>
    <row r="58" spans="1:9" x14ac:dyDescent="0.25">
      <c r="A58" s="143"/>
      <c r="B58" s="22" t="s">
        <v>15</v>
      </c>
      <c r="C58" s="19"/>
      <c r="D58" s="19"/>
      <c r="E58" s="19"/>
      <c r="F58" s="19"/>
      <c r="G58" s="19"/>
      <c r="H58" s="19"/>
      <c r="I58" s="19"/>
    </row>
    <row r="59" spans="1:9" x14ac:dyDescent="0.25">
      <c r="A59" s="143"/>
      <c r="B59" s="22"/>
      <c r="C59" s="19"/>
      <c r="D59" s="19"/>
      <c r="E59" s="19"/>
      <c r="F59" s="19"/>
      <c r="G59" s="23"/>
      <c r="H59" s="19"/>
      <c r="I59" s="19"/>
    </row>
    <row r="60" spans="1:9" x14ac:dyDescent="0.25">
      <c r="A60" s="143"/>
      <c r="B60" s="25" t="s">
        <v>17</v>
      </c>
      <c r="C60" s="19"/>
      <c r="D60" s="19"/>
      <c r="E60" s="19"/>
      <c r="F60" s="19"/>
      <c r="G60" s="23"/>
      <c r="H60" s="19"/>
      <c r="I60" s="19"/>
    </row>
    <row r="61" spans="1:9" x14ac:dyDescent="0.25">
      <c r="A61" s="143"/>
      <c r="B61" s="144" t="s">
        <v>18</v>
      </c>
      <c r="C61" s="9" t="s">
        <v>109</v>
      </c>
      <c r="D61" s="9" t="s">
        <v>108</v>
      </c>
      <c r="E61" s="9" t="s">
        <v>110</v>
      </c>
      <c r="F61" s="9" t="s">
        <v>108</v>
      </c>
      <c r="G61" s="56" t="s">
        <v>108</v>
      </c>
      <c r="H61" s="9" t="s">
        <v>107</v>
      </c>
      <c r="I61" s="56" t="s">
        <v>107</v>
      </c>
    </row>
    <row r="62" spans="1:9" x14ac:dyDescent="0.25">
      <c r="A62" s="143"/>
      <c r="B62" s="145"/>
      <c r="C62" s="9" t="s">
        <v>108</v>
      </c>
      <c r="D62" s="9" t="s">
        <v>105</v>
      </c>
      <c r="E62" s="9" t="s">
        <v>105</v>
      </c>
      <c r="F62" s="9" t="s">
        <v>105</v>
      </c>
      <c r="G62" s="9" t="s">
        <v>105</v>
      </c>
      <c r="H62" s="56" t="s">
        <v>108</v>
      </c>
      <c r="I62" s="9" t="s">
        <v>108</v>
      </c>
    </row>
    <row r="63" spans="1:9" x14ac:dyDescent="0.25">
      <c r="A63" s="143"/>
      <c r="B63" s="145"/>
      <c r="C63" s="9" t="s">
        <v>105</v>
      </c>
      <c r="D63" s="9" t="s">
        <v>106</v>
      </c>
      <c r="E63" s="9" t="s">
        <v>106</v>
      </c>
      <c r="F63" s="9" t="s">
        <v>106</v>
      </c>
      <c r="G63" s="9" t="s">
        <v>106</v>
      </c>
      <c r="H63" s="9" t="s">
        <v>105</v>
      </c>
      <c r="I63" s="56" t="s">
        <v>105</v>
      </c>
    </row>
    <row r="64" spans="1:9" x14ac:dyDescent="0.25">
      <c r="A64" s="143"/>
      <c r="B64" s="145"/>
      <c r="C64" s="10" t="s">
        <v>106</v>
      </c>
      <c r="D64" s="9"/>
      <c r="E64" s="9"/>
      <c r="F64" s="9"/>
      <c r="G64" s="9" t="s">
        <v>107</v>
      </c>
      <c r="H64" s="9" t="s">
        <v>106</v>
      </c>
      <c r="I64" s="9" t="s">
        <v>106</v>
      </c>
    </row>
    <row r="65" spans="1:14" x14ac:dyDescent="0.25">
      <c r="A65" s="143"/>
      <c r="B65" s="146"/>
      <c r="C65" s="9"/>
      <c r="D65" s="9"/>
      <c r="E65" s="9"/>
      <c r="F65" s="9"/>
      <c r="G65" s="167" t="s">
        <v>160</v>
      </c>
      <c r="H65" s="168" t="s">
        <v>160</v>
      </c>
      <c r="I65" s="9"/>
      <c r="L65" s="35"/>
      <c r="M65" s="35"/>
      <c r="N65" s="35"/>
    </row>
    <row r="66" spans="1:14" x14ac:dyDescent="0.25">
      <c r="A66" s="143"/>
      <c r="B66" s="147" t="s">
        <v>12</v>
      </c>
      <c r="C66" s="18" t="s">
        <v>106</v>
      </c>
      <c r="D66" s="19"/>
      <c r="E66" s="27"/>
      <c r="F66" s="27"/>
      <c r="G66" s="19"/>
      <c r="H66" s="19"/>
      <c r="I66" s="18" t="s">
        <v>107</v>
      </c>
      <c r="L66" s="35"/>
      <c r="M66" s="35"/>
      <c r="N66" s="35"/>
    </row>
    <row r="67" spans="1:14" x14ac:dyDescent="0.25">
      <c r="A67" s="143"/>
      <c r="B67" s="148"/>
      <c r="C67" s="19"/>
      <c r="D67" s="19"/>
      <c r="E67" s="27"/>
      <c r="F67" s="27"/>
      <c r="G67" s="27"/>
      <c r="H67" s="19"/>
      <c r="I67" s="18" t="s">
        <v>105</v>
      </c>
      <c r="L67" s="35"/>
      <c r="M67" s="35"/>
      <c r="N67" s="35"/>
    </row>
    <row r="68" spans="1:14" x14ac:dyDescent="0.25">
      <c r="A68" s="143"/>
      <c r="B68" s="22" t="s">
        <v>15</v>
      </c>
      <c r="C68" s="19"/>
      <c r="D68" s="19"/>
      <c r="E68" s="19"/>
      <c r="F68" s="19"/>
      <c r="G68" s="19"/>
      <c r="H68" s="19"/>
      <c r="I68" s="19"/>
      <c r="L68" s="35"/>
      <c r="M68" s="35"/>
      <c r="N68" s="35"/>
    </row>
    <row r="69" spans="1:14" x14ac:dyDescent="0.25">
      <c r="A69" s="143"/>
      <c r="B69" s="25" t="s">
        <v>17</v>
      </c>
      <c r="C69" s="19"/>
      <c r="D69" s="87" t="s">
        <v>110</v>
      </c>
      <c r="E69" s="87" t="s">
        <v>110</v>
      </c>
      <c r="F69" s="25" t="s">
        <v>110</v>
      </c>
      <c r="G69" s="87" t="s">
        <v>110</v>
      </c>
      <c r="H69" s="87" t="s">
        <v>110</v>
      </c>
      <c r="I69" s="87" t="s">
        <v>110</v>
      </c>
      <c r="L69" s="35"/>
      <c r="M69" s="35"/>
      <c r="N69" s="35"/>
    </row>
    <row r="70" spans="1:14" x14ac:dyDescent="0.25">
      <c r="B70" s="4"/>
      <c r="C70" s="15">
        <f>COUNTA(C50:C55,C61:C65)</f>
        <v>7</v>
      </c>
      <c r="D70" s="15">
        <f t="shared" ref="D70:I70" si="1">COUNTA(D50:D55,D61:D65)</f>
        <v>8</v>
      </c>
      <c r="E70" s="15">
        <f t="shared" si="1"/>
        <v>8</v>
      </c>
      <c r="F70" s="15">
        <f t="shared" si="1"/>
        <v>8</v>
      </c>
      <c r="G70" s="15">
        <f t="shared" si="1"/>
        <v>10</v>
      </c>
      <c r="H70" s="15">
        <f t="shared" si="1"/>
        <v>9</v>
      </c>
      <c r="I70" s="15">
        <f t="shared" si="1"/>
        <v>8</v>
      </c>
      <c r="M70" s="81"/>
    </row>
    <row r="71" spans="1:14" x14ac:dyDescent="0.25">
      <c r="A71" s="111" t="s">
        <v>20</v>
      </c>
      <c r="B71" s="6" t="s">
        <v>3</v>
      </c>
      <c r="C71" s="6" t="s">
        <v>138</v>
      </c>
      <c r="D71" s="6" t="s">
        <v>139</v>
      </c>
      <c r="E71" s="6" t="s">
        <v>140</v>
      </c>
      <c r="F71" s="6" t="s">
        <v>141</v>
      </c>
      <c r="G71" s="6" t="s">
        <v>142</v>
      </c>
      <c r="H71" s="6" t="s">
        <v>143</v>
      </c>
      <c r="I71" s="6" t="s">
        <v>144</v>
      </c>
    </row>
    <row r="72" spans="1:14" x14ac:dyDescent="0.25">
      <c r="A72" s="111"/>
      <c r="B72" s="123" t="s">
        <v>5</v>
      </c>
      <c r="C72" s="9" t="s">
        <v>112</v>
      </c>
      <c r="D72" s="56" t="s">
        <v>109</v>
      </c>
      <c r="E72" s="56" t="s">
        <v>108</v>
      </c>
      <c r="F72" s="56" t="s">
        <v>110</v>
      </c>
      <c r="G72" s="9" t="s">
        <v>110</v>
      </c>
      <c r="H72" s="56" t="s">
        <v>110</v>
      </c>
      <c r="I72" s="56" t="s">
        <v>110</v>
      </c>
      <c r="K72" s="11"/>
    </row>
    <row r="73" spans="1:14" x14ac:dyDescent="0.25">
      <c r="A73" s="111"/>
      <c r="B73" s="124"/>
      <c r="C73" s="9" t="s">
        <v>110</v>
      </c>
      <c r="D73" s="9" t="s">
        <v>112</v>
      </c>
      <c r="E73" s="9" t="s">
        <v>109</v>
      </c>
      <c r="F73" s="9" t="s">
        <v>109</v>
      </c>
      <c r="G73" s="79" t="s">
        <v>109</v>
      </c>
      <c r="H73" s="79" t="s">
        <v>109</v>
      </c>
      <c r="I73" s="9" t="s">
        <v>109</v>
      </c>
      <c r="L73" s="81"/>
    </row>
    <row r="74" spans="1:14" x14ac:dyDescent="0.25">
      <c r="A74" s="111"/>
      <c r="B74" s="124"/>
      <c r="C74" s="9" t="s">
        <v>107</v>
      </c>
      <c r="D74" s="9" t="s">
        <v>110</v>
      </c>
      <c r="E74" s="9" t="s">
        <v>112</v>
      </c>
      <c r="F74" s="9" t="s">
        <v>112</v>
      </c>
      <c r="G74" s="79" t="s">
        <v>112</v>
      </c>
      <c r="H74" s="79" t="s">
        <v>112</v>
      </c>
      <c r="I74" s="56" t="s">
        <v>112</v>
      </c>
      <c r="L74" s="81"/>
    </row>
    <row r="75" spans="1:14" x14ac:dyDescent="0.25">
      <c r="A75" s="111"/>
      <c r="B75" s="124"/>
      <c r="C75" s="9"/>
      <c r="D75" s="9" t="s">
        <v>107</v>
      </c>
      <c r="E75" s="9" t="s">
        <v>107</v>
      </c>
      <c r="F75" s="9" t="s">
        <v>107</v>
      </c>
      <c r="G75" s="142" t="s">
        <v>107</v>
      </c>
      <c r="H75" s="9"/>
      <c r="I75" s="9"/>
      <c r="L75" s="81"/>
    </row>
    <row r="76" spans="1:14" x14ac:dyDescent="0.25">
      <c r="A76" s="111"/>
      <c r="B76" s="125"/>
      <c r="C76" s="9"/>
      <c r="D76" s="9"/>
      <c r="E76" s="9"/>
      <c r="F76" s="56" t="s">
        <v>14</v>
      </c>
      <c r="G76" s="9" t="s">
        <v>14</v>
      </c>
      <c r="H76" s="9" t="s">
        <v>14</v>
      </c>
      <c r="I76" s="9" t="s">
        <v>14</v>
      </c>
      <c r="L76" s="81"/>
    </row>
    <row r="77" spans="1:14" x14ac:dyDescent="0.25">
      <c r="A77" s="111"/>
      <c r="B77" s="126" t="s">
        <v>12</v>
      </c>
      <c r="C77" s="19"/>
      <c r="D77" s="18" t="s">
        <v>109</v>
      </c>
      <c r="E77" s="18" t="s">
        <v>108</v>
      </c>
      <c r="F77" s="18" t="s">
        <v>14</v>
      </c>
      <c r="G77" s="19"/>
      <c r="H77" s="19"/>
      <c r="I77" s="18" t="s">
        <v>112</v>
      </c>
      <c r="L77" s="81"/>
    </row>
    <row r="78" spans="1:14" x14ac:dyDescent="0.25">
      <c r="A78" s="111"/>
      <c r="B78" s="127"/>
      <c r="C78" s="19"/>
      <c r="D78" s="19"/>
      <c r="E78" s="23"/>
      <c r="F78" s="23"/>
      <c r="G78" s="23"/>
      <c r="H78" s="19"/>
      <c r="I78" s="19"/>
      <c r="L78" s="81"/>
    </row>
    <row r="79" spans="1:14" x14ac:dyDescent="0.25">
      <c r="A79" s="111"/>
      <c r="B79" s="22" t="s">
        <v>15</v>
      </c>
      <c r="C79" s="19"/>
      <c r="D79" s="19"/>
      <c r="E79" s="23"/>
      <c r="F79" s="23"/>
      <c r="G79" s="23"/>
      <c r="H79" s="23"/>
      <c r="I79" s="19"/>
      <c r="L79" s="81"/>
    </row>
    <row r="80" spans="1:14" x14ac:dyDescent="0.25">
      <c r="A80" s="111"/>
      <c r="B80" s="25" t="s">
        <v>17</v>
      </c>
      <c r="C80" s="87" t="s">
        <v>110</v>
      </c>
      <c r="D80" s="87" t="s">
        <v>110</v>
      </c>
      <c r="E80" s="25" t="s">
        <v>110</v>
      </c>
      <c r="F80" s="87" t="s">
        <v>110</v>
      </c>
      <c r="G80" s="87" t="s">
        <v>110</v>
      </c>
      <c r="H80" s="87" t="s">
        <v>110</v>
      </c>
      <c r="I80" s="87" t="s">
        <v>110</v>
      </c>
      <c r="L80" s="81"/>
    </row>
    <row r="81" spans="1:12" x14ac:dyDescent="0.25">
      <c r="A81" s="111"/>
      <c r="B81" s="123" t="s">
        <v>18</v>
      </c>
      <c r="C81" s="9" t="s">
        <v>109</v>
      </c>
      <c r="D81" s="9" t="s">
        <v>108</v>
      </c>
      <c r="E81" s="9" t="s">
        <v>110</v>
      </c>
      <c r="F81" s="9" t="s">
        <v>108</v>
      </c>
      <c r="G81" s="56" t="s">
        <v>108</v>
      </c>
      <c r="H81" s="9" t="s">
        <v>107</v>
      </c>
      <c r="I81" s="56" t="s">
        <v>107</v>
      </c>
      <c r="L81" s="82"/>
    </row>
    <row r="82" spans="1:12" x14ac:dyDescent="0.25">
      <c r="A82" s="111"/>
      <c r="B82" s="124"/>
      <c r="C82" s="9" t="s">
        <v>108</v>
      </c>
      <c r="D82" s="9" t="s">
        <v>105</v>
      </c>
      <c r="E82" s="9" t="s">
        <v>105</v>
      </c>
      <c r="F82" s="9" t="s">
        <v>105</v>
      </c>
      <c r="G82" s="9" t="s">
        <v>105</v>
      </c>
      <c r="H82" s="56" t="s">
        <v>108</v>
      </c>
      <c r="I82" s="9" t="s">
        <v>108</v>
      </c>
    </row>
    <row r="83" spans="1:12" x14ac:dyDescent="0.25">
      <c r="A83" s="111"/>
      <c r="B83" s="124"/>
      <c r="C83" s="9" t="s">
        <v>105</v>
      </c>
      <c r="D83" s="9" t="s">
        <v>106</v>
      </c>
      <c r="E83" s="9" t="s">
        <v>106</v>
      </c>
      <c r="F83" s="9" t="s">
        <v>106</v>
      </c>
      <c r="G83" s="56" t="s">
        <v>106</v>
      </c>
      <c r="H83" s="45" t="s">
        <v>105</v>
      </c>
      <c r="I83" s="56" t="s">
        <v>105</v>
      </c>
    </row>
    <row r="84" spans="1:12" x14ac:dyDescent="0.25">
      <c r="A84" s="111"/>
      <c r="B84" s="124"/>
      <c r="C84" s="56" t="s">
        <v>106</v>
      </c>
      <c r="D84" s="9"/>
      <c r="E84" s="9"/>
      <c r="F84" s="9"/>
      <c r="G84" s="9" t="s">
        <v>107</v>
      </c>
      <c r="H84" s="9" t="s">
        <v>106</v>
      </c>
      <c r="I84" s="9" t="s">
        <v>106</v>
      </c>
    </row>
    <row r="85" spans="1:12" x14ac:dyDescent="0.25">
      <c r="A85" s="111"/>
      <c r="B85" s="125"/>
      <c r="C85" s="9"/>
      <c r="D85" s="9"/>
      <c r="E85" s="9"/>
      <c r="F85" s="9"/>
      <c r="G85" s="168" t="s">
        <v>160</v>
      </c>
      <c r="H85" s="168" t="s">
        <v>160</v>
      </c>
      <c r="I85" s="9"/>
    </row>
    <row r="86" spans="1:12" x14ac:dyDescent="0.25">
      <c r="A86" s="111"/>
      <c r="B86" s="126" t="s">
        <v>12</v>
      </c>
      <c r="C86" s="18" t="s">
        <v>106</v>
      </c>
      <c r="D86" s="27"/>
      <c r="E86" s="27"/>
      <c r="F86" s="27"/>
      <c r="G86" s="19"/>
      <c r="H86" s="19"/>
      <c r="I86" s="18" t="s">
        <v>107</v>
      </c>
    </row>
    <row r="87" spans="1:12" x14ac:dyDescent="0.25">
      <c r="A87" s="111"/>
      <c r="B87" s="127"/>
      <c r="C87" s="27"/>
      <c r="D87" s="27"/>
      <c r="E87" s="27"/>
      <c r="F87" s="27"/>
      <c r="G87" s="27"/>
      <c r="H87" s="19"/>
      <c r="I87" s="18" t="s">
        <v>105</v>
      </c>
    </row>
    <row r="88" spans="1:12" x14ac:dyDescent="0.25">
      <c r="A88" s="111"/>
      <c r="B88" s="22" t="s">
        <v>15</v>
      </c>
      <c r="C88" s="19"/>
      <c r="D88" s="30"/>
      <c r="E88" s="27"/>
      <c r="F88" s="27"/>
      <c r="G88" s="27"/>
      <c r="H88" s="29"/>
      <c r="I88" s="19"/>
    </row>
    <row r="89" spans="1:12" x14ac:dyDescent="0.25">
      <c r="A89" s="111"/>
      <c r="B89" s="25" t="s">
        <v>17</v>
      </c>
      <c r="C89" s="19"/>
      <c r="D89" s="30"/>
      <c r="E89" s="27"/>
      <c r="F89" s="27"/>
      <c r="G89" s="27"/>
      <c r="H89" s="27"/>
      <c r="I89" s="19"/>
    </row>
    <row r="90" spans="1:12" x14ac:dyDescent="0.25">
      <c r="B90" s="4"/>
      <c r="C90" s="15">
        <f>COUNTA(C72:C76,C81:C85)</f>
        <v>7</v>
      </c>
      <c r="D90" s="15">
        <f>COUNTA(D72:D76,D81:D84)</f>
        <v>7</v>
      </c>
      <c r="E90" s="15">
        <f t="shared" ref="E90:I90" si="2">COUNTA(E72:E76,E81:E85)</f>
        <v>7</v>
      </c>
      <c r="F90" s="15">
        <f t="shared" si="2"/>
        <v>8</v>
      </c>
      <c r="G90" s="15">
        <f t="shared" si="2"/>
        <v>10</v>
      </c>
      <c r="H90" s="15">
        <f t="shared" si="2"/>
        <v>9</v>
      </c>
      <c r="I90" s="15">
        <f t="shared" si="2"/>
        <v>8</v>
      </c>
    </row>
    <row r="91" spans="1:12" x14ac:dyDescent="0.25">
      <c r="A91" s="111" t="s">
        <v>21</v>
      </c>
      <c r="B91" s="6" t="s">
        <v>3</v>
      </c>
      <c r="C91" s="6" t="s">
        <v>145</v>
      </c>
      <c r="D91" s="6" t="s">
        <v>146</v>
      </c>
      <c r="E91" s="6" t="s">
        <v>147</v>
      </c>
      <c r="F91" s="6" t="s">
        <v>148</v>
      </c>
      <c r="G91" s="6" t="s">
        <v>149</v>
      </c>
      <c r="H91" s="6" t="s">
        <v>150</v>
      </c>
      <c r="I91" s="6" t="s">
        <v>151</v>
      </c>
    </row>
    <row r="92" spans="1:12" x14ac:dyDescent="0.25">
      <c r="A92" s="111"/>
      <c r="B92" s="123" t="s">
        <v>5</v>
      </c>
      <c r="C92" s="9" t="s">
        <v>112</v>
      </c>
      <c r="D92" s="56" t="s">
        <v>109</v>
      </c>
      <c r="E92" s="56" t="s">
        <v>108</v>
      </c>
      <c r="F92" s="56" t="s">
        <v>110</v>
      </c>
      <c r="G92" s="9" t="s">
        <v>110</v>
      </c>
      <c r="H92" s="9" t="s">
        <v>110</v>
      </c>
      <c r="I92" s="9" t="s">
        <v>110</v>
      </c>
    </row>
    <row r="93" spans="1:12" x14ac:dyDescent="0.25">
      <c r="A93" s="111"/>
      <c r="B93" s="124"/>
      <c r="C93" s="9" t="s">
        <v>110</v>
      </c>
      <c r="D93" s="9" t="s">
        <v>112</v>
      </c>
      <c r="E93" s="56" t="s">
        <v>109</v>
      </c>
      <c r="F93" s="9" t="s">
        <v>109</v>
      </c>
      <c r="G93" s="79" t="s">
        <v>109</v>
      </c>
      <c r="H93" s="79" t="s">
        <v>109</v>
      </c>
      <c r="I93" s="56" t="s">
        <v>109</v>
      </c>
    </row>
    <row r="94" spans="1:12" x14ac:dyDescent="0.25">
      <c r="A94" s="111"/>
      <c r="B94" s="124"/>
      <c r="C94" s="9" t="s">
        <v>107</v>
      </c>
      <c r="D94" s="9" t="s">
        <v>110</v>
      </c>
      <c r="E94" s="9" t="s">
        <v>112</v>
      </c>
      <c r="F94" s="9" t="s">
        <v>112</v>
      </c>
      <c r="G94" s="79" t="s">
        <v>112</v>
      </c>
      <c r="H94" s="79" t="s">
        <v>112</v>
      </c>
      <c r="I94" s="54" t="s">
        <v>112</v>
      </c>
    </row>
    <row r="95" spans="1:12" x14ac:dyDescent="0.25">
      <c r="A95" s="111"/>
      <c r="B95" s="124"/>
      <c r="C95" s="9"/>
      <c r="D95" s="9" t="s">
        <v>107</v>
      </c>
      <c r="E95" s="9" t="s">
        <v>107</v>
      </c>
      <c r="F95" s="9" t="s">
        <v>107</v>
      </c>
      <c r="G95" s="79" t="s">
        <v>107</v>
      </c>
      <c r="H95" s="9"/>
      <c r="I95" s="9"/>
    </row>
    <row r="96" spans="1:12" x14ac:dyDescent="0.25">
      <c r="A96" s="111"/>
      <c r="B96" s="125"/>
      <c r="C96" s="9"/>
      <c r="D96" s="54" t="s">
        <v>14</v>
      </c>
      <c r="E96" s="56" t="s">
        <v>14</v>
      </c>
      <c r="F96" s="56" t="s">
        <v>14</v>
      </c>
      <c r="G96" s="56" t="s">
        <v>14</v>
      </c>
      <c r="H96" s="56" t="s">
        <v>14</v>
      </c>
      <c r="I96" s="9"/>
    </row>
    <row r="97" spans="1:9" x14ac:dyDescent="0.25">
      <c r="A97" s="111"/>
      <c r="B97" s="126" t="s">
        <v>12</v>
      </c>
      <c r="C97" s="19"/>
      <c r="D97" s="18" t="s">
        <v>109</v>
      </c>
      <c r="E97" s="18" t="s">
        <v>108</v>
      </c>
      <c r="F97" s="18" t="s">
        <v>110</v>
      </c>
      <c r="G97" s="19"/>
      <c r="H97" s="19"/>
      <c r="I97" s="18" t="s">
        <v>112</v>
      </c>
    </row>
    <row r="98" spans="1:9" x14ac:dyDescent="0.25">
      <c r="A98" s="111"/>
      <c r="B98" s="127"/>
      <c r="C98" s="19"/>
      <c r="D98" s="28"/>
      <c r="E98" s="23"/>
      <c r="F98" s="23"/>
      <c r="G98" s="23"/>
      <c r="H98" s="19"/>
      <c r="I98" s="19"/>
    </row>
    <row r="99" spans="1:9" x14ac:dyDescent="0.25">
      <c r="A99" s="111"/>
      <c r="B99" s="22" t="s">
        <v>15</v>
      </c>
      <c r="C99" s="19"/>
      <c r="D99" s="19"/>
      <c r="E99" s="23"/>
      <c r="F99" s="23"/>
      <c r="G99" s="23"/>
      <c r="H99" s="23"/>
      <c r="I99" s="19"/>
    </row>
    <row r="100" spans="1:9" x14ac:dyDescent="0.25">
      <c r="A100" s="111"/>
      <c r="B100" s="25" t="s">
        <v>17</v>
      </c>
      <c r="C100" s="19"/>
      <c r="D100" s="19"/>
      <c r="E100" s="23"/>
      <c r="F100" s="23"/>
      <c r="G100" s="23"/>
      <c r="H100" s="23"/>
      <c r="I100" s="19"/>
    </row>
    <row r="101" spans="1:9" x14ac:dyDescent="0.25">
      <c r="A101" s="111"/>
      <c r="B101" s="123" t="s">
        <v>18</v>
      </c>
      <c r="C101" s="9" t="s">
        <v>109</v>
      </c>
      <c r="D101" s="9" t="s">
        <v>108</v>
      </c>
      <c r="E101" s="9" t="s">
        <v>110</v>
      </c>
      <c r="F101" s="9" t="s">
        <v>108</v>
      </c>
      <c r="G101" s="9" t="s">
        <v>108</v>
      </c>
      <c r="H101" s="9" t="s">
        <v>107</v>
      </c>
      <c r="I101" s="54" t="s">
        <v>107</v>
      </c>
    </row>
    <row r="102" spans="1:9" x14ac:dyDescent="0.25">
      <c r="A102" s="111"/>
      <c r="B102" s="124"/>
      <c r="C102" s="9" t="s">
        <v>108</v>
      </c>
      <c r="D102" s="9" t="s">
        <v>105</v>
      </c>
      <c r="E102" s="9" t="s">
        <v>105</v>
      </c>
      <c r="F102" s="9" t="s">
        <v>105</v>
      </c>
      <c r="G102" s="9" t="s">
        <v>105</v>
      </c>
      <c r="H102" s="9" t="s">
        <v>108</v>
      </c>
      <c r="I102" s="9" t="s">
        <v>108</v>
      </c>
    </row>
    <row r="103" spans="1:9" x14ac:dyDescent="0.25">
      <c r="A103" s="111"/>
      <c r="B103" s="124"/>
      <c r="C103" s="9" t="s">
        <v>105</v>
      </c>
      <c r="D103" s="9" t="s">
        <v>106</v>
      </c>
      <c r="E103" s="9" t="s">
        <v>106</v>
      </c>
      <c r="F103" s="9" t="s">
        <v>106</v>
      </c>
      <c r="G103" s="9" t="s">
        <v>106</v>
      </c>
      <c r="H103" s="9" t="s">
        <v>105</v>
      </c>
      <c r="I103" s="54" t="s">
        <v>105</v>
      </c>
    </row>
    <row r="104" spans="1:9" x14ac:dyDescent="0.25">
      <c r="A104" s="111"/>
      <c r="B104" s="124"/>
      <c r="C104" s="54" t="s">
        <v>106</v>
      </c>
      <c r="D104" s="9"/>
      <c r="E104" s="9"/>
      <c r="F104" s="9"/>
      <c r="G104" s="9" t="s">
        <v>107</v>
      </c>
      <c r="H104" s="9" t="s">
        <v>106</v>
      </c>
      <c r="I104" s="9" t="s">
        <v>106</v>
      </c>
    </row>
    <row r="105" spans="1:9" x14ac:dyDescent="0.25">
      <c r="A105" s="111"/>
      <c r="B105" s="125"/>
      <c r="C105" s="9" t="s">
        <v>14</v>
      </c>
      <c r="D105" s="9"/>
      <c r="E105" s="9"/>
      <c r="F105" s="9"/>
      <c r="G105" s="168" t="s">
        <v>160</v>
      </c>
      <c r="H105" s="168" t="s">
        <v>160</v>
      </c>
      <c r="I105" s="9"/>
    </row>
    <row r="106" spans="1:9" x14ac:dyDescent="0.25">
      <c r="A106" s="111"/>
      <c r="B106" s="126" t="s">
        <v>12</v>
      </c>
      <c r="C106" s="18" t="s">
        <v>106</v>
      </c>
      <c r="D106" s="27"/>
      <c r="E106" s="27"/>
      <c r="F106" s="27"/>
      <c r="G106" s="19"/>
      <c r="H106" s="19"/>
      <c r="I106" s="18" t="s">
        <v>107</v>
      </c>
    </row>
    <row r="107" spans="1:9" x14ac:dyDescent="0.25">
      <c r="A107" s="111"/>
      <c r="B107" s="127"/>
      <c r="C107" s="27"/>
      <c r="D107" s="27"/>
      <c r="E107" s="27"/>
      <c r="F107" s="27"/>
      <c r="G107" s="27"/>
      <c r="H107" s="29"/>
      <c r="I107" s="18" t="s">
        <v>105</v>
      </c>
    </row>
    <row r="108" spans="1:9" x14ac:dyDescent="0.25">
      <c r="A108" s="111"/>
      <c r="B108" s="22" t="s">
        <v>15</v>
      </c>
      <c r="C108" s="19"/>
      <c r="D108" s="30"/>
      <c r="E108" s="27"/>
      <c r="F108" s="27"/>
      <c r="G108" s="27"/>
      <c r="H108" s="29"/>
      <c r="I108" s="19"/>
    </row>
    <row r="109" spans="1:9" x14ac:dyDescent="0.25">
      <c r="A109" s="111"/>
      <c r="B109" s="25" t="s">
        <v>17</v>
      </c>
      <c r="C109" s="19"/>
      <c r="D109" s="30"/>
      <c r="E109" s="27"/>
      <c r="F109" s="27"/>
      <c r="G109" s="27"/>
      <c r="H109" s="27"/>
      <c r="I109" s="19"/>
    </row>
    <row r="110" spans="1:9" x14ac:dyDescent="0.25">
      <c r="C110" s="15">
        <f t="shared" ref="C110:I110" si="3">COUNTA(C92:C96,C101:C105)</f>
        <v>8</v>
      </c>
      <c r="D110" s="15">
        <f t="shared" si="3"/>
        <v>8</v>
      </c>
      <c r="E110" s="15">
        <f t="shared" si="3"/>
        <v>8</v>
      </c>
      <c r="F110" s="15">
        <f t="shared" si="3"/>
        <v>8</v>
      </c>
      <c r="G110" s="15">
        <f t="shared" si="3"/>
        <v>10</v>
      </c>
      <c r="H110" s="15">
        <f t="shared" si="3"/>
        <v>9</v>
      </c>
      <c r="I110" s="15">
        <f t="shared" si="3"/>
        <v>7</v>
      </c>
    </row>
    <row r="111" spans="1:9" x14ac:dyDescent="0.25">
      <c r="A111" s="111" t="s">
        <v>22</v>
      </c>
      <c r="B111" s="6" t="s">
        <v>3</v>
      </c>
      <c r="C111" s="6" t="s">
        <v>152</v>
      </c>
      <c r="D111" s="6" t="s">
        <v>153</v>
      </c>
      <c r="E111" s="6" t="s">
        <v>154</v>
      </c>
      <c r="F111" s="6" t="s">
        <v>155</v>
      </c>
      <c r="G111" s="6" t="s">
        <v>156</v>
      </c>
      <c r="H111" s="6" t="s">
        <v>157</v>
      </c>
      <c r="I111" s="6" t="s">
        <v>158</v>
      </c>
    </row>
    <row r="112" spans="1:9" x14ac:dyDescent="0.25">
      <c r="A112" s="111"/>
      <c r="B112" s="123" t="s">
        <v>5</v>
      </c>
      <c r="C112" s="9" t="s">
        <v>112</v>
      </c>
      <c r="D112" s="9" t="s">
        <v>109</v>
      </c>
      <c r="E112" s="54" t="s">
        <v>108</v>
      </c>
      <c r="F112" s="9" t="s">
        <v>110</v>
      </c>
      <c r="G112" s="9" t="s">
        <v>110</v>
      </c>
      <c r="H112" s="9" t="s">
        <v>110</v>
      </c>
      <c r="I112" s="9" t="s">
        <v>110</v>
      </c>
    </row>
    <row r="113" spans="1:9" x14ac:dyDescent="0.25">
      <c r="A113" s="111"/>
      <c r="B113" s="124"/>
      <c r="C113" s="9" t="s">
        <v>110</v>
      </c>
      <c r="D113" s="9" t="s">
        <v>112</v>
      </c>
      <c r="E113" s="9" t="s">
        <v>109</v>
      </c>
      <c r="F113" s="9" t="s">
        <v>109</v>
      </c>
      <c r="G113" s="79" t="s">
        <v>109</v>
      </c>
      <c r="H113" s="79" t="s">
        <v>109</v>
      </c>
      <c r="I113" s="9" t="s">
        <v>109</v>
      </c>
    </row>
    <row r="114" spans="1:9" x14ac:dyDescent="0.25">
      <c r="A114" s="111"/>
      <c r="B114" s="124"/>
      <c r="C114" s="9" t="s">
        <v>107</v>
      </c>
      <c r="D114" s="9" t="s">
        <v>110</v>
      </c>
      <c r="E114" s="9" t="s">
        <v>112</v>
      </c>
      <c r="F114" s="9" t="s">
        <v>112</v>
      </c>
      <c r="G114" s="79" t="s">
        <v>112</v>
      </c>
      <c r="H114" s="79" t="s">
        <v>112</v>
      </c>
      <c r="I114" s="54" t="s">
        <v>112</v>
      </c>
    </row>
    <row r="115" spans="1:9" x14ac:dyDescent="0.25">
      <c r="A115" s="111"/>
      <c r="B115" s="124"/>
      <c r="C115" s="9"/>
      <c r="D115" s="9" t="s">
        <v>107</v>
      </c>
      <c r="E115" s="9" t="s">
        <v>107</v>
      </c>
      <c r="F115" s="9" t="s">
        <v>107</v>
      </c>
      <c r="G115" s="79" t="s">
        <v>107</v>
      </c>
      <c r="H115" s="9"/>
      <c r="I115" s="9"/>
    </row>
    <row r="116" spans="1:9" x14ac:dyDescent="0.25">
      <c r="A116" s="111"/>
      <c r="B116" s="125"/>
      <c r="C116" s="9"/>
      <c r="D116" s="54" t="s">
        <v>14</v>
      </c>
      <c r="E116" s="56" t="s">
        <v>14</v>
      </c>
      <c r="F116" s="56" t="s">
        <v>14</v>
      </c>
      <c r="G116" s="56" t="s">
        <v>14</v>
      </c>
      <c r="H116" s="56" t="s">
        <v>14</v>
      </c>
      <c r="I116" s="56" t="s">
        <v>14</v>
      </c>
    </row>
    <row r="117" spans="1:9" x14ac:dyDescent="0.25">
      <c r="A117" s="111"/>
      <c r="B117" s="126" t="s">
        <v>12</v>
      </c>
      <c r="C117" s="19"/>
      <c r="D117" s="18" t="s">
        <v>109</v>
      </c>
      <c r="E117" s="18" t="s">
        <v>108</v>
      </c>
      <c r="F117" s="18" t="s">
        <v>110</v>
      </c>
      <c r="G117" s="19"/>
      <c r="H117" s="19"/>
      <c r="I117" s="18" t="s">
        <v>112</v>
      </c>
    </row>
    <row r="118" spans="1:9" x14ac:dyDescent="0.25">
      <c r="A118" s="111"/>
      <c r="B118" s="127"/>
      <c r="C118" s="19"/>
      <c r="D118" s="28"/>
      <c r="E118" s="23"/>
      <c r="F118" s="23"/>
      <c r="G118" s="23"/>
      <c r="H118" s="19"/>
      <c r="I118" s="19"/>
    </row>
    <row r="119" spans="1:9" x14ac:dyDescent="0.25">
      <c r="A119" s="111"/>
      <c r="B119" s="22" t="s">
        <v>15</v>
      </c>
      <c r="C119" s="19"/>
      <c r="D119" s="19"/>
      <c r="E119" s="23"/>
      <c r="F119" s="23"/>
      <c r="G119" s="23"/>
      <c r="H119" s="23"/>
      <c r="I119" s="19"/>
    </row>
    <row r="120" spans="1:9" x14ac:dyDescent="0.25">
      <c r="A120" s="111"/>
      <c r="B120" s="25" t="s">
        <v>17</v>
      </c>
      <c r="C120" s="19"/>
      <c r="D120" s="19"/>
      <c r="E120" s="23"/>
      <c r="F120" s="23"/>
      <c r="G120" s="23"/>
      <c r="H120" s="23"/>
      <c r="I120" s="19"/>
    </row>
    <row r="121" spans="1:9" x14ac:dyDescent="0.25">
      <c r="A121" s="111"/>
      <c r="B121" s="123" t="s">
        <v>18</v>
      </c>
      <c r="C121" s="9" t="s">
        <v>109</v>
      </c>
      <c r="D121" s="9" t="s">
        <v>108</v>
      </c>
      <c r="E121" s="9" t="s">
        <v>110</v>
      </c>
      <c r="F121" s="9" t="s">
        <v>108</v>
      </c>
      <c r="G121" s="9" t="s">
        <v>108</v>
      </c>
      <c r="H121" s="9" t="s">
        <v>107</v>
      </c>
      <c r="I121" s="54" t="s">
        <v>107</v>
      </c>
    </row>
    <row r="122" spans="1:9" x14ac:dyDescent="0.25">
      <c r="A122" s="111"/>
      <c r="B122" s="124"/>
      <c r="C122" s="9" t="s">
        <v>108</v>
      </c>
      <c r="D122" s="9" t="s">
        <v>105</v>
      </c>
      <c r="E122" s="9" t="s">
        <v>105</v>
      </c>
      <c r="F122" s="9" t="s">
        <v>105</v>
      </c>
      <c r="G122" s="9" t="s">
        <v>105</v>
      </c>
      <c r="H122" s="9" t="s">
        <v>108</v>
      </c>
      <c r="I122" s="9" t="s">
        <v>108</v>
      </c>
    </row>
    <row r="123" spans="1:9" x14ac:dyDescent="0.25">
      <c r="A123" s="111"/>
      <c r="B123" s="124"/>
      <c r="C123" s="9" t="s">
        <v>105</v>
      </c>
      <c r="D123" s="9" t="s">
        <v>106</v>
      </c>
      <c r="E123" s="9" t="s">
        <v>106</v>
      </c>
      <c r="F123" s="9" t="s">
        <v>106</v>
      </c>
      <c r="G123" s="9" t="s">
        <v>106</v>
      </c>
      <c r="H123" s="9" t="s">
        <v>105</v>
      </c>
      <c r="I123" s="54" t="s">
        <v>105</v>
      </c>
    </row>
    <row r="124" spans="1:9" x14ac:dyDescent="0.25">
      <c r="A124" s="111"/>
      <c r="B124" s="124"/>
      <c r="C124" s="10" t="s">
        <v>106</v>
      </c>
      <c r="D124" s="9"/>
      <c r="E124" s="9"/>
      <c r="F124" s="9"/>
      <c r="G124" s="9"/>
      <c r="H124" s="9" t="s">
        <v>106</v>
      </c>
      <c r="I124" s="9" t="s">
        <v>106</v>
      </c>
    </row>
    <row r="125" spans="1:9" x14ac:dyDescent="0.25">
      <c r="A125" s="111"/>
      <c r="B125" s="125"/>
      <c r="C125" s="9"/>
      <c r="D125" s="9"/>
      <c r="E125" s="9"/>
      <c r="F125" s="9"/>
      <c r="G125" s="9"/>
      <c r="H125" s="9"/>
      <c r="I125" s="9"/>
    </row>
    <row r="126" spans="1:9" x14ac:dyDescent="0.25">
      <c r="A126" s="111"/>
      <c r="B126" s="126" t="s">
        <v>12</v>
      </c>
      <c r="C126" s="18" t="s">
        <v>106</v>
      </c>
      <c r="D126" s="27"/>
      <c r="E126" s="27"/>
      <c r="F126" s="27"/>
      <c r="G126" s="19"/>
      <c r="H126" s="19"/>
      <c r="I126" s="18" t="s">
        <v>107</v>
      </c>
    </row>
    <row r="127" spans="1:9" x14ac:dyDescent="0.25">
      <c r="A127" s="111"/>
      <c r="B127" s="127"/>
      <c r="C127" s="27"/>
      <c r="D127" s="27"/>
      <c r="E127" s="27"/>
      <c r="F127" s="27"/>
      <c r="G127" s="27"/>
      <c r="H127" s="29"/>
      <c r="I127" s="18" t="s">
        <v>105</v>
      </c>
    </row>
    <row r="128" spans="1:9" x14ac:dyDescent="0.25">
      <c r="A128" s="111"/>
      <c r="B128" s="22" t="s">
        <v>15</v>
      </c>
      <c r="C128" s="19"/>
      <c r="D128" s="30"/>
      <c r="E128" s="27"/>
      <c r="F128" s="27"/>
      <c r="G128" s="27"/>
      <c r="H128" s="29"/>
      <c r="I128" s="19"/>
    </row>
    <row r="129" spans="1:15" x14ac:dyDescent="0.25">
      <c r="A129" s="111"/>
      <c r="B129" s="25" t="s">
        <v>17</v>
      </c>
      <c r="C129" s="19"/>
      <c r="D129" s="30"/>
      <c r="E129" s="27"/>
      <c r="F129" s="27"/>
      <c r="G129" s="27"/>
      <c r="H129" s="29"/>
      <c r="I129" s="19"/>
    </row>
    <row r="130" spans="1:15" x14ac:dyDescent="0.25">
      <c r="C130" s="15">
        <f t="shared" ref="C130:I130" si="4">COUNTA(C112:C116,C121:C125)</f>
        <v>7</v>
      </c>
      <c r="D130" s="15">
        <f t="shared" si="4"/>
        <v>8</v>
      </c>
      <c r="E130" s="15">
        <f t="shared" si="4"/>
        <v>8</v>
      </c>
      <c r="F130" s="15">
        <f t="shared" si="4"/>
        <v>8</v>
      </c>
      <c r="G130" s="15">
        <f t="shared" si="4"/>
        <v>8</v>
      </c>
      <c r="H130" s="15">
        <f t="shared" si="4"/>
        <v>8</v>
      </c>
      <c r="I130" s="15">
        <f t="shared" si="4"/>
        <v>8</v>
      </c>
    </row>
    <row r="131" spans="1:15" x14ac:dyDescent="0.25">
      <c r="C131" s="15"/>
      <c r="D131" s="15"/>
      <c r="E131" s="15"/>
      <c r="F131" s="15"/>
      <c r="G131" s="15"/>
      <c r="H131" s="15"/>
      <c r="I131" s="15"/>
    </row>
    <row r="133" spans="1:15" x14ac:dyDescent="0.25">
      <c r="D133" s="2"/>
      <c r="E133" s="2"/>
    </row>
    <row r="134" spans="1:15" x14ac:dyDescent="0.25">
      <c r="C134" s="122" t="s">
        <v>27</v>
      </c>
      <c r="D134" s="122"/>
      <c r="E134" s="122"/>
      <c r="F134" s="122"/>
      <c r="G134" s="122"/>
      <c r="I134" s="122" t="s">
        <v>113</v>
      </c>
      <c r="J134" s="122"/>
      <c r="K134" s="122"/>
      <c r="L134" s="122"/>
      <c r="M134" s="122"/>
      <c r="N134" s="141" t="s">
        <v>114</v>
      </c>
      <c r="O134" s="141"/>
    </row>
    <row r="135" spans="1:15" x14ac:dyDescent="0.25">
      <c r="D135" s="2" t="s">
        <v>29</v>
      </c>
      <c r="E135" s="2" t="s">
        <v>30</v>
      </c>
      <c r="F135" t="s">
        <v>31</v>
      </c>
      <c r="G135" t="s">
        <v>32</v>
      </c>
      <c r="I135" s="2" t="s">
        <v>29</v>
      </c>
      <c r="J135" s="2" t="s">
        <v>30</v>
      </c>
      <c r="K135" t="s">
        <v>31</v>
      </c>
      <c r="L135" t="s">
        <v>32</v>
      </c>
      <c r="M135" s="2"/>
      <c r="N135" s="83" t="s">
        <v>115</v>
      </c>
      <c r="O135" s="83" t="s">
        <v>116</v>
      </c>
    </row>
    <row r="136" spans="1:15" x14ac:dyDescent="0.25">
      <c r="B136" t="s">
        <v>117</v>
      </c>
      <c r="C136" s="38" t="s">
        <v>108</v>
      </c>
      <c r="D136" s="39">
        <f>COUNTIF($C$8:$I$13,"Jeferson")-COUNTIF($C$14:$I$17,"Jeferson")+COUNTIF($C$30:$I$38,"Jeferson")-COUNTIF($C$39:$I$42,"Jeferson")+COUNTIF($C$50:$E$55,"Jeferson")-COUNTIF($C$56:$E$60,"Jeferson")</f>
        <v>5</v>
      </c>
      <c r="E136" s="39" t="e">
        <f>COUNTIF($C$18:$I$22,"Jeferson")-COUNTIF($C$23:$I$27,"Jeferson")+COUNTIF($C$43:$I$47,"Jeferson")-COUNTIF(#REF!,"Jeferson")+COUNTIF($C$61:$E$65,"Jeferson")-COUNTIF($C$66:$E$69,"Jeferson")</f>
        <v>#REF!</v>
      </c>
      <c r="F136" s="39" t="e">
        <f>+COUNTIF($C$14:$I$17,"Jeferson")+COUNTIF($C$39:$I$42,"Jeferson")+COUNTIF($C$56:$E$60,"Jeferson")+COUNTIF($C$23:$I$27,"Jeferson")+COUNTIF(#REF!,"Jeferson")+COUNTIF($C$66:$E$69,"Jeferson")</f>
        <v>#REF!</v>
      </c>
      <c r="G136" s="40" t="e">
        <f t="shared" ref="G136:G143" si="5">+F136+E136+D136</f>
        <v>#REF!</v>
      </c>
      <c r="H136" s="38" t="s">
        <v>108</v>
      </c>
      <c r="I136" s="39">
        <f>COUNTIF($C$50:$I$55,"Jeferson")-COUNTIF($C$56:$I$60,"Jeferson")+COUNTIF($C$72:$I$76,"Jeferson")-COUNTIF($C$77:$I$80,"Jeferson")+COUNTIF($C$92:$D$96,"Jeferson")-COUNTIF($C$97:$D$100,"Jeferson")</f>
        <v>0</v>
      </c>
      <c r="J136" s="39">
        <f>COUNTIF($C$61:$I$65,"Jeferson")-COUNTIF($C$66:$I$69,"Jeferson")+COUNTIF($C$81:$I$85,"Jeferson")-COUNTIF($C$86:$I$89,"Jeferson")+COUNTIF($C$101:$D$105,"Jeferson")-COUNTIF($C$106:$D$109,"Jeferson")</f>
        <v>14</v>
      </c>
      <c r="K136" s="39">
        <f>COUNTIF($C$56:$I$60,"Jeferson")+COUNTIF($C$77:$I$80,"Jeferson")+COUNTIF($C$97:$D$100,"Jeferson")+COUNTIF($C$66:$I$69,"Jeferson")+COUNTIF($C$86:$I$89,"Jeferson")+COUNTIF($C$106:$D$109,"Jeferson")</f>
        <v>2</v>
      </c>
      <c r="L136" s="40">
        <f t="shared" ref="L136:L143" si="6">+K136+J136+I136</f>
        <v>16</v>
      </c>
      <c r="N136" s="83">
        <v>2</v>
      </c>
      <c r="O136" s="83">
        <v>1</v>
      </c>
    </row>
    <row r="137" spans="1:15" x14ac:dyDescent="0.25">
      <c r="B137" t="s">
        <v>117</v>
      </c>
      <c r="C137" t="s">
        <v>110</v>
      </c>
      <c r="D137" s="39">
        <f>COUNTIF($C$8:$I$13,"Hector")-COUNTIF($C$14:$I$17,"Hector")+COUNTIF($C$30:$I$38,"Hector")-COUNTIF($C$39:$I$42,"Hector")+COUNTIF($C$50:$E$55,"Hector")-COUNTIF($C$56:$E$60,"Hector")</f>
        <v>0</v>
      </c>
      <c r="E137" s="39" t="e">
        <f>COUNTIF($C$18:$I$22,"Hector")-COUNTIF($C$23:$I$27,"Hector")+COUNTIF($C$43:$I$47,"Hector")-COUNTIF(#REF!,"Hector")+COUNTIF($C$61:$E$65,"Hector")-COUNTIF($C$66:$E$69,"Hector")</f>
        <v>#REF!</v>
      </c>
      <c r="F137" s="39" t="e">
        <f>+COUNTIF($C$14:$I$17,"Hector")+COUNTIF($C$39:$I$42,"Hector")+COUNTIF($C$56:$E$60,"Hector")+COUNTIF($C$23:$I$27,"Hector")+COUNTIF(#REF!,"Hector")+COUNTIF($C$66:$E$69,"Hector")</f>
        <v>#REF!</v>
      </c>
      <c r="G137" s="84" t="e">
        <f t="shared" si="5"/>
        <v>#REF!</v>
      </c>
      <c r="H137" t="s">
        <v>110</v>
      </c>
      <c r="I137" s="39">
        <f>COUNTIF($C$50:$I$55,"Hector")-COUNTIF($C$56:$I$60,"Hector")+COUNTIF($C$72:$I$76,"Hector")-COUNTIF($C$77:$I$80,"Hector")+COUNTIF($C$92:$D$96,"Hector")-COUNTIF($C$97:$D$100,"Hector")</f>
        <v>7</v>
      </c>
      <c r="J137" s="39">
        <f>COUNTIF($C$61:$I$65,"Hector")-COUNTIF($C$66:$I$69,"Hector")+COUNTIF($C$81:$I$85,"Hector")-COUNTIF($C$86:$I$89,"Hector")+COUNTIF($C$101:$D$105,"Hector")-COUNTIF($C$106:$D$109,"Hector")</f>
        <v>-4</v>
      </c>
      <c r="K137" s="39">
        <f>COUNTIF($C$56:$I$60,"Hector")+COUNTIF($C$77:$I$80,"Hector")+COUNTIF($C$97:$D$100,"Hector")+COUNTIF($C$66:$I$69,"Hector")+COUNTIF($C$86:$I$89,"Hector")+COUNTIF($C$106:$D$109,"Hector")</f>
        <v>13</v>
      </c>
      <c r="L137" s="40">
        <f t="shared" si="6"/>
        <v>16</v>
      </c>
      <c r="N137" s="83">
        <f>1</f>
        <v>1</v>
      </c>
      <c r="O137" s="83">
        <v>2</v>
      </c>
    </row>
    <row r="138" spans="1:15" x14ac:dyDescent="0.25">
      <c r="B138" t="s">
        <v>117</v>
      </c>
      <c r="C138" s="38" t="s">
        <v>112</v>
      </c>
      <c r="D138" s="39">
        <f>COUNTIF($C$8:$I$13,"Milton")-COUNTIF($C$14:$I$17,"Milton")+COUNTIF($C$30:$I$38,"Milton")-COUNTIF($C$39:$I$42,"Milton")+COUNTIF($C$50:$E$55,"Milton")-COUNTIF($C$56:$E$60,"Milton")</f>
        <v>12</v>
      </c>
      <c r="E138" s="39" t="e">
        <f>COUNTIF($C$18:$I$22,"Milton")-COUNTIF($C$23:$I$27,"Milton")+COUNTIF($C$43:$I$47,"Milton")-COUNTIF(#REF!,"Milton")+COUNTIF($C$61:$E$65,"Milton")-COUNTIF($C$66:$E$69,"Milton")</f>
        <v>#REF!</v>
      </c>
      <c r="F138" s="39" t="e">
        <f>+COUNTIF($C$14:$I$17,"Milton")+COUNTIF($C$39:$I$42,"Milton")+COUNTIF($C$56:$E$60,"Milton")+COUNTIF($C$23:$I$27,"Milton")+COUNTIF(#REF!,"Milton")+COUNTIF($C$66:$E$69,"Milton")</f>
        <v>#REF!</v>
      </c>
      <c r="G138" s="40" t="e">
        <f t="shared" si="5"/>
        <v>#REF!</v>
      </c>
      <c r="H138" s="38" t="s">
        <v>112</v>
      </c>
      <c r="I138" s="39">
        <f>COUNTIF($C$50:$I$55,"Milton")-COUNTIF($C$56:$I$60,"Milton")+COUNTIF($C$72:$I$76,"Milton")-COUNTIF($C$77:$I$80,"Milton")+COUNTIF($C$92:$D$96,"Milton")-COUNTIF($C$97:$D$100,"Milton")</f>
        <v>14</v>
      </c>
      <c r="J138" s="39">
        <f>COUNTIF($C$61:$I$65,"Milton")-COUNTIF($C$66:$I$69,"Milton")+COUNTIF($C$81:$I$85,"Milton")-COUNTIF($C$86:$I$89,"Milton")+COUNTIF($C$101:$D$105,"Milton")-COUNTIF($C$106:$D$109,"Milton")</f>
        <v>0</v>
      </c>
      <c r="K138" s="39">
        <f>COUNTIF($C$56:$I$60,"Milton")+COUNTIF($C$77:$I$80,"Milton")+COUNTIF($C$97:$D$100,"Milton")+COUNTIF($C$66:$I$69,"Milton")+COUNTIF($C$86:$I$89,"Milton")+COUNTIF($C$106:$D$109,"Milton")</f>
        <v>2</v>
      </c>
      <c r="L138" s="40">
        <f t="shared" si="6"/>
        <v>16</v>
      </c>
      <c r="N138" s="83">
        <v>3</v>
      </c>
      <c r="O138" s="83"/>
    </row>
    <row r="139" spans="1:15" x14ac:dyDescent="0.25">
      <c r="B139" t="s">
        <v>117</v>
      </c>
      <c r="C139" t="s">
        <v>107</v>
      </c>
      <c r="D139" s="39">
        <f>COUNTIF($C$8:$I$13,"candido")-COUNTIF($C$14:$I$17,"candido")+COUNTIF($C$30:$I$38,"candido")-COUNTIF($C$39:$I$42,"candido")+COUNTIF($C$50:$E$55,"candido")-COUNTIF($C$56:$E$60,"candido")</f>
        <v>10</v>
      </c>
      <c r="E139" s="39" t="e">
        <f>COUNTIF($C$18:$I$22,"candido")-COUNTIF($C$23:$I$27,"candido")+COUNTIF($C$43:$I$47,"candido")-COUNTIF(#REF!,"candido")+COUNTIF($C$61:$E$65,"candido")-COUNTIF($C$66:$E$69,"candido")</f>
        <v>#REF!</v>
      </c>
      <c r="F139" s="39" t="e">
        <f>+COUNTIF($C$14:$I$17,"candido")+COUNTIF($C$39:$I$42,"candido")+COUNTIF($C$56:$E$60,"candido")+COUNTIF($C$23:$I$27,"candido")+COUNTIF(#REF!,"candido")+COUNTIF($C$66:$E$69,"candido")</f>
        <v>#REF!</v>
      </c>
      <c r="G139" s="40" t="e">
        <f t="shared" si="5"/>
        <v>#REF!</v>
      </c>
      <c r="H139" t="s">
        <v>107</v>
      </c>
      <c r="I139" s="39">
        <f>COUNTIF($C$50:$I$55,"Candido")-COUNTIF($C$56:$I$60,"Candido")+COUNTIF($C$72:$I$76,"Candido")-COUNTIF($C$77:$I$80,"Candido")+COUNTIF($C$92:$D$96,"Candido")-COUNTIF($C$97:$D$100,"Candido")</f>
        <v>12</v>
      </c>
      <c r="J139" s="39">
        <f>COUNTIF($C$61:$I$65,"Candido")-COUNTIF($C$66:$I$69,"Candido")+COUNTIF($C$81:$I$85,"Candido")-COUNTIF($C$86:$I$89,"Candido")+COUNTIF($C$101:$D$105,"Candido")-COUNTIF($C$106:$D$109,"Candido")</f>
        <v>4</v>
      </c>
      <c r="K139" s="39">
        <f>COUNTIF($C$56:$I$60,"Candido")+COUNTIF($C$77:$I$80,"Candido")+COUNTIF($C$97:$D$100,"Candido")+COUNTIF($C$66:$I$69,"Candido")+COUNTIF($C$86:$I$89,"Candido")+COUNTIF($C$106:$D$109,"Candido")</f>
        <v>2</v>
      </c>
      <c r="L139" s="40">
        <f t="shared" si="6"/>
        <v>18</v>
      </c>
      <c r="N139" s="83">
        <v>2</v>
      </c>
      <c r="O139" s="83">
        <v>1</v>
      </c>
    </row>
    <row r="140" spans="1:15" x14ac:dyDescent="0.25">
      <c r="C140" s="38" t="s">
        <v>105</v>
      </c>
      <c r="D140" s="85">
        <f>COUNTIF($C$8:$I$13,"roy")-COUNTIF($C$14:$I$17,"roy")+COUNTIF($C$30:$I$38,"roy")-COUNTIF($C$39:$I$42,"roy")+COUNTIF($C$50:$E$55,"roy")-COUNTIF($C$56:$E$60,"roy")</f>
        <v>4</v>
      </c>
      <c r="E140" s="85" t="e">
        <f>COUNTIF($C$18:$I$22,"roy")-COUNTIF($C$23:$I$27,"roy")+COUNTIF($C$43:$I$47,"roy")-COUNTIF(#REF!,"roy")+COUNTIF($C$61:$E$65,"roy")-COUNTIF($C$66:$E$69,"roy")</f>
        <v>#REF!</v>
      </c>
      <c r="F140" s="85" t="e">
        <f>+COUNTIF($C$14:$I$17,"roy")+COUNTIF($C$39:$I$42,"roy")+COUNTIF($C$56:$E$60,"roy")+COUNTIF($C$23:$I$27,"roy")+COUNTIF(#REF!,"roy")+COUNTIF($C$66:$E$69,"roy")</f>
        <v>#REF!</v>
      </c>
      <c r="G140" s="84" t="e">
        <f t="shared" si="5"/>
        <v>#REF!</v>
      </c>
      <c r="H140" s="38" t="s">
        <v>105</v>
      </c>
      <c r="I140" s="39">
        <f>COUNTIF($C$50:$I$55,"Roy")-COUNTIF($C$56:$I$60,"Roy")+COUNTIF($C$72:$I$76,"Roy")-COUNTIF($C$77:$I$80,"Roy")+COUNTIF($C$92:$D$96,"Roy")-COUNTIF($C$97:$D$100,"Roy")</f>
        <v>0</v>
      </c>
      <c r="J140" s="39">
        <f>COUNTIF($C$61:$I$65,"Roy")-COUNTIF($C$66:$I$69,"Roy")+COUNTIF($C$81:$I$85,"Roy")-COUNTIF($C$86:$I$89,"Roy")+COUNTIF($C$101:$D$105,"Roy")-COUNTIF($C$106:$D$109,"Roy")</f>
        <v>14</v>
      </c>
      <c r="K140" s="39">
        <f>COUNTIF($C$56:$I$60,"Roy")+COUNTIF($C$77:$I$80,"Roy")+COUNTIF($C$97:$D$100,"Roy")+COUNTIF($C$66:$I$69,"Roy")+COUNTIF($C$86:$I$89,"Roy")+COUNTIF($C$106:$D$109,"Roy")</f>
        <v>2</v>
      </c>
      <c r="L140" s="40">
        <f t="shared" si="6"/>
        <v>16</v>
      </c>
      <c r="N140" s="83">
        <v>2</v>
      </c>
      <c r="O140" s="83">
        <v>1</v>
      </c>
    </row>
    <row r="141" spans="1:15" x14ac:dyDescent="0.25">
      <c r="B141" t="s">
        <v>117</v>
      </c>
      <c r="C141" t="s">
        <v>106</v>
      </c>
      <c r="D141" s="39">
        <f>COUNTIF($C$8:$I$13,"saudy")-COUNTIF($C$14:$I$17,"saudy")+COUNTIF($C$30:$I$38,"saudy")-COUNTIF($C$39:$I$42,"saudy")+COUNTIF($C$50:$E$55,"saudy")-COUNTIF($C$56:$E$60,"saudy")</f>
        <v>-1</v>
      </c>
      <c r="E141" s="39" t="e">
        <f>COUNTIF($C$18:$I$22,"saudy")-COUNTIF($C$23:$I$27,"saudy")+COUNTIF($C$43:$I$47,"saudy")-COUNTIF(#REF!,"saudy")+COUNTIF($C$61:$E$65,"saudy")-COUNTIF($C$66:$E$69,"saudy")</f>
        <v>#REF!</v>
      </c>
      <c r="F141" s="39" t="e">
        <f>+COUNTIF($C$14:$I$17,"saudy")+COUNTIF($C$39:$I$42,"saudy")+COUNTIF($C$56:$E$60,"saudy")+COUNTIF($C$23:$I$27,"saudy")+COUNTIF(#REF!,"saudy")+COUNTIF($C$66:$E$69,"saudy")</f>
        <v>#REF!</v>
      </c>
      <c r="G141" s="40" t="e">
        <f t="shared" si="5"/>
        <v>#REF!</v>
      </c>
      <c r="H141" t="s">
        <v>106</v>
      </c>
      <c r="I141" s="39">
        <f>COUNTIF($C$50:$I$55,"Saudy")-COUNTIF($C$56:$I$60,"Saudy")+COUNTIF($C$72:$I$76,"Saudy")-COUNTIF($C$77:$I$80,"Saudy")+COUNTIF($C$92:$D$96,"Saudy")-COUNTIF($C$97:$D$100,"Saudy")</f>
        <v>0</v>
      </c>
      <c r="J141" s="39">
        <f>COUNTIF($C$61:$I$65,"Saudy")-COUNTIF($C$66:$I$69,"Saudy")+COUNTIF($C$81:$I$85,"Saudy")-COUNTIF($C$86:$I$89,"Saudy")+COUNTIF($C$101:$D$105,"Saudy")-COUNTIF($C$106:$D$109,"Saudy")</f>
        <v>13</v>
      </c>
      <c r="K141" s="39">
        <f>COUNTIF($C$56:$I$60,"Saudy")+COUNTIF($C$77:$I$80,"Saudy")+COUNTIF($C$97:$D$100,"Saudy")+COUNTIF($C$66:$I$69,"Saudy")+COUNTIF($C$86:$I$89,"Saudy")+COUNTIF($C$106:$D$109,"Saudy")</f>
        <v>3</v>
      </c>
      <c r="L141" s="40">
        <f t="shared" si="6"/>
        <v>16</v>
      </c>
      <c r="N141" s="83">
        <v>3</v>
      </c>
      <c r="O141" s="83"/>
    </row>
    <row r="142" spans="1:15" x14ac:dyDescent="0.25">
      <c r="B142" t="s">
        <v>117</v>
      </c>
      <c r="C142" s="38" t="s">
        <v>109</v>
      </c>
      <c r="D142" s="39">
        <f>COUNTIF($C$8:$I$13,"Evin")-COUNTIF($C$14:$I$17,"Evin")+COUNTIF($C$30:$I$38,"Evin")-COUNTIF($C$39:$I$42,"Evin")+COUNTIF($C$50:$E$55,"Evin")-COUNTIF($C$56:$E$60,"Evin")</f>
        <v>-2</v>
      </c>
      <c r="E142" s="39" t="e">
        <f>COUNTIF($C$18:$I$22,"Evin")-COUNTIF($C$23:$I$27,"Evin")+COUNTIF($C$43:$I$47,"Evin")-COUNTIF(#REF!,"Evin")+COUNTIF($C$61:$E$65,"Evin")-COUNTIF($C$66:$E$69,"Evin")</f>
        <v>#REF!</v>
      </c>
      <c r="F142" s="39" t="e">
        <f>+COUNTIF($C$14:$I$17,"Evin")+COUNTIF($C$39:$I$42,"Evin")+COUNTIF($C$56:$E$60,"Evin")+COUNTIF($C$23:$I$27,"Evin")+COUNTIF(#REF!,"Evin")+COUNTIF($C$66:$E$69,"Evin")</f>
        <v>#REF!</v>
      </c>
      <c r="G142" s="40" t="e">
        <f t="shared" si="5"/>
        <v>#REF!</v>
      </c>
      <c r="H142" s="38" t="s">
        <v>109</v>
      </c>
      <c r="I142" s="39">
        <f>COUNTIF($C$50:$I$55,"Evin")-COUNTIF($C$56:$I$60,"Evin")+COUNTIF($C$72:$I$76,"Evin")-COUNTIF($C$77:$I$80,"Evin")+COUNTIF($C$92:$D$96,"Evin")-COUNTIF($C$97:$D$100,"Evin")</f>
        <v>10</v>
      </c>
      <c r="J142" s="39">
        <f>COUNTIF($C$61:$I$65,"Evin")-COUNTIF($C$66:$I$69,"Evin")+COUNTIF($C$81:$I$85,"Evin")-COUNTIF($C$86:$I$89,"Evin")+COUNTIF($C$101:$D$105,"Evin")-COUNTIF($C$106:$D$109,"Evin")</f>
        <v>3</v>
      </c>
      <c r="K142" s="39">
        <f>COUNTIF($C$56:$I$60,"Evin")+COUNTIF($C$77:$I$80,"Evin")+COUNTIF($C$97:$D$100,"Evin")+COUNTIF($C$66:$I$69,"Evin")+COUNTIF($C$86:$I$89,"Evin")+COUNTIF($C$106:$D$109,"Evin")</f>
        <v>3</v>
      </c>
      <c r="L142" s="40">
        <f t="shared" si="6"/>
        <v>16</v>
      </c>
      <c r="N142" s="83">
        <v>3</v>
      </c>
      <c r="O142" s="83"/>
    </row>
    <row r="143" spans="1:15" x14ac:dyDescent="0.25">
      <c r="C143" t="s">
        <v>14</v>
      </c>
      <c r="D143" s="39">
        <f>COUNTIF($C$8:$I$13,"Lester")-COUNTIF($C$14:$I$17,"Lester")+COUNTIF($C$30:$I$38,"Lester")-COUNTIF($C$39:$I$42,"Lester")+COUNTIF($C$50:$E$55,"Lester")-COUNTIF($C$56:$E$60,"Lester")</f>
        <v>7</v>
      </c>
      <c r="E143" s="39" t="e">
        <f>COUNTIF($C$18:$I$22,"Lester")-COUNTIF($C$23:$I$27,"Lester")+COUNTIF($C$43:$I$47,"Lester")-COUNTIF(#REF!,"Lester")+COUNTIF($C$61:$E$65,"Lester")-COUNTIF($C$66:$E$69,"Lester")</f>
        <v>#REF!</v>
      </c>
      <c r="F143" s="39" t="e">
        <f>+COUNTIF($C$14:$I$17,"Lester")+COUNTIF($C$39:$I$42,"Lester")+COUNTIF($C$56:$E$60,"Lester")+COUNTIF($C$23:$I$27,"Lester")+COUNTIF(#REF!,"Lester")+COUNTIF($C$66:$E$69,"Lester")</f>
        <v>#REF!</v>
      </c>
      <c r="G143" s="40" t="e">
        <f t="shared" si="5"/>
        <v>#REF!</v>
      </c>
      <c r="H143" t="s">
        <v>14</v>
      </c>
      <c r="I143" s="39">
        <f>COUNTIF($C$50:$I$55,"Lester")-COUNTIF($C$56:$I$60,"Lester")+COUNTIF($C$72:$I$76,"Lester")-COUNTIF($C$77:$I$80,"Lester")+COUNTIF($C$92:$D$96,"Lester")-COUNTIF($C$97:$D$100,"Lester")</f>
        <v>9</v>
      </c>
      <c r="J143" s="39">
        <f>COUNTIF($C$61:$I$65,"Lester")-COUNTIF($C$66:$I$69,"Lester")+COUNTIF($C$81:$I$85,"Lester")-COUNTIF($C$86:$I$89,"Lester")+COUNTIF($C$101:$D$105,"Lester")-COUNTIF($C$106:$D$109,"Lester")</f>
        <v>1</v>
      </c>
      <c r="K143" s="39">
        <f>COUNTIF($C$56:$I$60,"Lester")+COUNTIF($C$77:$I$80,"Lester")+COUNTIF($C$97:$D$100,"Lester")+COUNTIF($C$66:$I$69,"Lester")+COUNTIF($C$86:$I$89,"Lester")+COUNTIF($C$106:$D$109,"Lester")</f>
        <v>2</v>
      </c>
      <c r="L143" s="40">
        <f t="shared" si="6"/>
        <v>12</v>
      </c>
      <c r="N143" s="83">
        <v>3</v>
      </c>
      <c r="O143" s="83"/>
    </row>
    <row r="144" spans="1:15" x14ac:dyDescent="0.25">
      <c r="D144" s="83">
        <f>SUM(D136:D143)</f>
        <v>35</v>
      </c>
      <c r="E144" s="83" t="e">
        <f t="shared" ref="E144:G144" si="7">SUM(E136:E143)</f>
        <v>#REF!</v>
      </c>
      <c r="F144" s="83" t="e">
        <f t="shared" si="7"/>
        <v>#REF!</v>
      </c>
      <c r="G144" s="83" t="e">
        <f t="shared" si="7"/>
        <v>#REF!</v>
      </c>
      <c r="I144" s="83">
        <f>SUM(I136:I143)</f>
        <v>52</v>
      </c>
      <c r="J144" s="83">
        <f t="shared" ref="J144:L144" si="8">SUM(J136:J143)</f>
        <v>45</v>
      </c>
      <c r="K144" s="83">
        <f t="shared" si="8"/>
        <v>29</v>
      </c>
      <c r="L144" s="83">
        <f t="shared" si="8"/>
        <v>126</v>
      </c>
    </row>
    <row r="148" spans="3:5" x14ac:dyDescent="0.25">
      <c r="C148" t="s">
        <v>36</v>
      </c>
      <c r="E148" t="e">
        <f>+F144+K144</f>
        <v>#REF!</v>
      </c>
    </row>
    <row r="150" spans="3:5" x14ac:dyDescent="0.25">
      <c r="C150" t="s">
        <v>37</v>
      </c>
      <c r="E150">
        <f>7*31</f>
        <v>217</v>
      </c>
    </row>
  </sheetData>
  <mergeCells count="30">
    <mergeCell ref="B2:I2"/>
    <mergeCell ref="B3:I3"/>
    <mergeCell ref="A7:A27"/>
    <mergeCell ref="B8:B13"/>
    <mergeCell ref="B14:B15"/>
    <mergeCell ref="B18:B22"/>
    <mergeCell ref="B23:B24"/>
    <mergeCell ref="A29:A47"/>
    <mergeCell ref="B30:B34"/>
    <mergeCell ref="B35:B36"/>
    <mergeCell ref="B39:B43"/>
    <mergeCell ref="B44:B45"/>
    <mergeCell ref="A71:A89"/>
    <mergeCell ref="B72:B76"/>
    <mergeCell ref="B77:B78"/>
    <mergeCell ref="B81:B85"/>
    <mergeCell ref="B86:B87"/>
    <mergeCell ref="B106:B107"/>
    <mergeCell ref="C134:G134"/>
    <mergeCell ref="I134:M134"/>
    <mergeCell ref="N134:O134"/>
    <mergeCell ref="A111:A129"/>
    <mergeCell ref="B112:B116"/>
    <mergeCell ref="B117:B118"/>
    <mergeCell ref="B121:B125"/>
    <mergeCell ref="B126:B127"/>
    <mergeCell ref="A91:A109"/>
    <mergeCell ref="B92:B96"/>
    <mergeCell ref="B97:B98"/>
    <mergeCell ref="B101:B105"/>
  </mergeCells>
  <pageMargins left="0.7" right="0.7" top="0.75" bottom="0.75" header="0.3" footer="0.3"/>
  <pageSetup paperSize="9" orientation="portrait" horizontalDpi="0" verticalDpi="0"/>
  <ignoredErrors>
    <ignoredError sqref="D90" formula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7349-D6BB-954D-9899-C2B2DEFD87BE}">
  <dimension ref="A1:X74"/>
  <sheetViews>
    <sheetView showGridLines="0" tabSelected="1" topLeftCell="A48" workbookViewId="0">
      <selection activeCell="H66" sqref="H66"/>
    </sheetView>
  </sheetViews>
  <sheetFormatPr baseColWidth="10" defaultColWidth="9.125" defaultRowHeight="24.75" x14ac:dyDescent="0.4"/>
  <cols>
    <col min="1" max="1" width="7" style="157" bestFit="1" customWidth="1"/>
    <col min="2" max="2" width="7" style="169" bestFit="1" customWidth="1"/>
    <col min="3" max="3" width="11" style="157" bestFit="1" customWidth="1"/>
    <col min="4" max="4" width="16.125" style="170" customWidth="1"/>
    <col min="5" max="5" width="15.375" style="170" customWidth="1"/>
    <col min="6" max="6" width="14.875" style="170" customWidth="1"/>
    <col min="7" max="8" width="16" style="170" customWidth="1"/>
    <col min="9" max="10" width="15.625" style="170" bestFit="1" customWidth="1"/>
    <col min="11" max="11" width="5.5" style="157" customWidth="1"/>
    <col min="12" max="12" width="21.375" style="157" customWidth="1"/>
    <col min="13" max="13" width="7" style="157" bestFit="1" customWidth="1"/>
    <col min="14" max="14" width="8" style="157" bestFit="1" customWidth="1"/>
    <col min="15" max="15" width="8.625" style="170" bestFit="1" customWidth="1"/>
    <col min="16" max="16" width="8.375" style="170" bestFit="1" customWidth="1"/>
    <col min="17" max="18" width="7.375" style="170" bestFit="1" customWidth="1"/>
    <col min="19" max="19" width="10.375" style="171" customWidth="1"/>
    <col min="20" max="21" width="14.375" style="170" bestFit="1" customWidth="1"/>
    <col min="22" max="16384" width="9.125" style="157"/>
  </cols>
  <sheetData>
    <row r="1" spans="1:24" ht="15.75" customHeight="1" x14ac:dyDescent="0.4"/>
    <row r="2" spans="1:24" ht="22.5" customHeight="1" x14ac:dyDescent="0.4">
      <c r="C2" s="172" t="s">
        <v>0</v>
      </c>
      <c r="D2" s="172"/>
      <c r="E2" s="172"/>
      <c r="F2" s="172"/>
      <c r="G2" s="172"/>
      <c r="H2" s="172"/>
      <c r="I2" s="172"/>
      <c r="J2" s="172"/>
    </row>
    <row r="3" spans="1:24" ht="19.5" customHeight="1" x14ac:dyDescent="0.4">
      <c r="C3" s="173" t="s">
        <v>131</v>
      </c>
      <c r="D3" s="173"/>
      <c r="E3" s="173"/>
      <c r="F3" s="173"/>
      <c r="G3" s="173"/>
      <c r="H3" s="173"/>
      <c r="I3" s="173"/>
      <c r="J3" s="173"/>
    </row>
    <row r="4" spans="1:24" ht="15.75" customHeight="1" x14ac:dyDescent="0.4"/>
    <row r="5" spans="1:24" ht="15.75" customHeight="1" x14ac:dyDescent="0.4">
      <c r="C5" s="174" t="s">
        <v>52</v>
      </c>
    </row>
    <row r="6" spans="1:24" x14ac:dyDescent="0.4">
      <c r="A6" s="175"/>
      <c r="D6" s="176"/>
      <c r="E6" s="176"/>
      <c r="F6" s="176"/>
      <c r="G6" s="176"/>
      <c r="H6" s="176"/>
      <c r="I6" s="176"/>
      <c r="J6" s="176"/>
      <c r="L6" s="175"/>
      <c r="M6" s="175"/>
      <c r="O6" s="176"/>
      <c r="P6" s="176"/>
      <c r="Q6" s="176"/>
      <c r="R6" s="176"/>
      <c r="S6" s="177"/>
      <c r="T6" s="176"/>
      <c r="U6" s="176"/>
    </row>
    <row r="7" spans="1:24" ht="24" customHeight="1" x14ac:dyDescent="0.25">
      <c r="A7" s="178" t="s">
        <v>2</v>
      </c>
      <c r="B7" s="179" t="s">
        <v>118</v>
      </c>
      <c r="C7" s="180" t="s">
        <v>3</v>
      </c>
      <c r="D7" s="181"/>
      <c r="E7" s="181"/>
      <c r="F7" s="181" t="s">
        <v>99</v>
      </c>
      <c r="G7" s="181" t="s">
        <v>100</v>
      </c>
      <c r="H7" s="181" t="s">
        <v>101</v>
      </c>
      <c r="I7" s="181" t="s">
        <v>102</v>
      </c>
      <c r="J7" s="181" t="s">
        <v>103</v>
      </c>
      <c r="N7" s="182" t="s">
        <v>40</v>
      </c>
      <c r="O7" s="182" t="s">
        <v>41</v>
      </c>
      <c r="P7" s="183" t="s">
        <v>42</v>
      </c>
      <c r="Q7" s="183" t="s">
        <v>43</v>
      </c>
      <c r="R7" s="184">
        <v>46143</v>
      </c>
      <c r="S7" s="185" t="s">
        <v>161</v>
      </c>
    </row>
    <row r="8" spans="1:24" ht="12.75" customHeight="1" x14ac:dyDescent="0.25">
      <c r="A8" s="178"/>
      <c r="B8" s="179"/>
      <c r="C8" s="180" t="s">
        <v>5</v>
      </c>
      <c r="D8" s="186"/>
      <c r="E8" s="186"/>
      <c r="F8" s="186" t="s">
        <v>120</v>
      </c>
      <c r="G8" s="186" t="s">
        <v>120</v>
      </c>
      <c r="H8" s="187" t="s">
        <v>120</v>
      </c>
      <c r="I8" s="186" t="s">
        <v>120</v>
      </c>
      <c r="J8" s="186" t="s">
        <v>120</v>
      </c>
      <c r="M8" s="188"/>
      <c r="N8" s="189"/>
      <c r="O8" s="189"/>
      <c r="P8" s="183"/>
      <c r="Q8" s="183"/>
      <c r="R8" s="157"/>
      <c r="X8" s="190" t="s">
        <v>121</v>
      </c>
    </row>
    <row r="9" spans="1:24" ht="15.75" x14ac:dyDescent="0.25">
      <c r="A9" s="178"/>
      <c r="B9" s="179"/>
      <c r="C9" s="180" t="s">
        <v>64</v>
      </c>
      <c r="D9" s="191"/>
      <c r="E9" s="186"/>
      <c r="F9" s="186" t="s">
        <v>111</v>
      </c>
      <c r="G9" s="186"/>
      <c r="H9" s="186" t="s">
        <v>111</v>
      </c>
      <c r="I9" s="186"/>
      <c r="J9" s="191" t="s">
        <v>111</v>
      </c>
      <c r="M9" s="157" t="s">
        <v>120</v>
      </c>
      <c r="N9" s="192">
        <v>0</v>
      </c>
      <c r="O9" s="192" t="s">
        <v>46</v>
      </c>
      <c r="P9" s="192">
        <v>0</v>
      </c>
      <c r="Q9" s="192">
        <v>0</v>
      </c>
      <c r="R9" s="192">
        <v>0</v>
      </c>
      <c r="S9" s="171">
        <v>4</v>
      </c>
      <c r="X9" s="157" t="s">
        <v>122</v>
      </c>
    </row>
    <row r="10" spans="1:24" ht="15.75" x14ac:dyDescent="0.25">
      <c r="A10" s="178"/>
      <c r="B10" s="179"/>
      <c r="C10" s="193" t="s">
        <v>12</v>
      </c>
      <c r="D10" s="194"/>
      <c r="E10" s="194"/>
      <c r="F10" s="194"/>
      <c r="G10" s="194"/>
      <c r="H10" s="195" t="s">
        <v>120</v>
      </c>
      <c r="I10" s="194"/>
      <c r="J10" s="194"/>
      <c r="M10" s="188" t="s">
        <v>119</v>
      </c>
      <c r="N10" s="196">
        <v>0</v>
      </c>
      <c r="O10" s="196">
        <v>0</v>
      </c>
      <c r="P10" s="192">
        <v>0</v>
      </c>
      <c r="Q10" s="192">
        <v>0</v>
      </c>
      <c r="R10" s="197">
        <v>0</v>
      </c>
      <c r="S10" s="171">
        <v>5</v>
      </c>
      <c r="X10" s="157" t="s">
        <v>123</v>
      </c>
    </row>
    <row r="11" spans="1:24" ht="24.75" customHeight="1" x14ac:dyDescent="0.25">
      <c r="A11" s="178"/>
      <c r="B11" s="179"/>
      <c r="C11" s="198" t="s">
        <v>15</v>
      </c>
      <c r="D11" s="194"/>
      <c r="E11" s="194"/>
      <c r="F11" s="194"/>
      <c r="G11" s="194"/>
      <c r="H11" s="194"/>
      <c r="I11" s="194"/>
      <c r="J11" s="194"/>
      <c r="M11" s="157" t="s">
        <v>111</v>
      </c>
      <c r="N11" s="199">
        <v>0</v>
      </c>
      <c r="O11" s="199">
        <v>0</v>
      </c>
      <c r="P11" s="192" t="s">
        <v>46</v>
      </c>
      <c r="Q11" s="192">
        <v>0</v>
      </c>
      <c r="R11" s="197">
        <v>0</v>
      </c>
      <c r="S11" s="171">
        <v>4</v>
      </c>
    </row>
    <row r="12" spans="1:24" ht="15.75" x14ac:dyDescent="0.25">
      <c r="A12" s="178"/>
      <c r="B12" s="179"/>
      <c r="C12" s="200" t="s">
        <v>17</v>
      </c>
      <c r="D12" s="194"/>
      <c r="E12" s="194"/>
      <c r="F12" s="194"/>
      <c r="G12" s="194"/>
      <c r="H12" s="194"/>
      <c r="I12" s="194"/>
      <c r="J12" s="194"/>
      <c r="M12" s="201"/>
      <c r="N12" s="202"/>
      <c r="O12" s="202"/>
      <c r="P12" s="203"/>
      <c r="Q12" s="203"/>
      <c r="R12" s="204"/>
    </row>
    <row r="13" spans="1:24" ht="33" customHeight="1" x14ac:dyDescent="0.25">
      <c r="A13" s="178"/>
      <c r="B13" s="179"/>
      <c r="C13" s="180" t="s">
        <v>18</v>
      </c>
      <c r="D13" s="186"/>
      <c r="E13" s="186"/>
      <c r="F13" s="186" t="s">
        <v>119</v>
      </c>
      <c r="G13" s="186" t="s">
        <v>119</v>
      </c>
      <c r="H13" s="186" t="s">
        <v>119</v>
      </c>
      <c r="I13" s="187" t="s">
        <v>119</v>
      </c>
      <c r="J13" s="186" t="s">
        <v>119</v>
      </c>
      <c r="M13" s="201"/>
      <c r="N13" s="202"/>
      <c r="O13" s="202"/>
      <c r="P13" s="203"/>
      <c r="Q13" s="203"/>
      <c r="R13" s="204"/>
    </row>
    <row r="14" spans="1:24" s="208" customFormat="1" ht="15.75" x14ac:dyDescent="0.25">
      <c r="A14" s="178"/>
      <c r="B14" s="179"/>
      <c r="C14" s="205"/>
      <c r="D14" s="206"/>
      <c r="E14" s="206"/>
      <c r="F14" s="186"/>
      <c r="G14" s="186"/>
      <c r="H14" s="186"/>
      <c r="I14" s="207" t="s">
        <v>111</v>
      </c>
      <c r="J14" s="186"/>
      <c r="M14" s="201"/>
      <c r="N14" s="202"/>
      <c r="O14" s="202"/>
      <c r="P14" s="203"/>
      <c r="Q14" s="203"/>
      <c r="R14" s="204"/>
      <c r="S14" s="209"/>
      <c r="T14" s="210"/>
      <c r="U14" s="210"/>
    </row>
    <row r="15" spans="1:24" ht="15.75" x14ac:dyDescent="0.25">
      <c r="A15" s="178"/>
      <c r="B15" s="179"/>
      <c r="C15" s="193" t="s">
        <v>12</v>
      </c>
      <c r="D15" s="211"/>
      <c r="E15" s="211"/>
      <c r="F15" s="212"/>
      <c r="G15" s="211"/>
      <c r="H15" s="211"/>
      <c r="I15" s="213" t="s">
        <v>119</v>
      </c>
      <c r="J15" s="211"/>
      <c r="M15" s="201"/>
      <c r="N15" s="202"/>
      <c r="O15" s="202"/>
      <c r="P15" s="214"/>
      <c r="Q15" s="214"/>
      <c r="R15" s="201"/>
    </row>
    <row r="16" spans="1:24" ht="15.75" x14ac:dyDescent="0.25">
      <c r="A16" s="178"/>
      <c r="B16" s="179"/>
      <c r="C16" s="198" t="s">
        <v>15</v>
      </c>
      <c r="D16" s="215"/>
      <c r="E16" s="211"/>
      <c r="F16" s="211"/>
      <c r="G16" s="211"/>
      <c r="H16" s="211"/>
      <c r="I16" s="211"/>
      <c r="J16" s="211"/>
      <c r="M16" s="201"/>
      <c r="N16" s="216"/>
      <c r="O16" s="216"/>
      <c r="P16" s="203"/>
      <c r="Q16" s="204"/>
      <c r="R16" s="204"/>
    </row>
    <row r="17" spans="1:18" ht="15" customHeight="1" x14ac:dyDescent="0.4">
      <c r="A17" s="178"/>
      <c r="C17" s="200" t="s">
        <v>17</v>
      </c>
      <c r="D17" s="215"/>
      <c r="E17" s="211"/>
      <c r="F17" s="211"/>
      <c r="G17" s="211"/>
      <c r="H17" s="211"/>
      <c r="I17" s="211"/>
      <c r="J17" s="211"/>
      <c r="M17" s="201"/>
      <c r="N17" s="216"/>
      <c r="O17" s="216"/>
      <c r="P17" s="203"/>
      <c r="Q17" s="203"/>
      <c r="R17" s="204"/>
    </row>
    <row r="18" spans="1:18" ht="15.75" customHeight="1" x14ac:dyDescent="0.4">
      <c r="C18" s="217"/>
      <c r="D18" s="218"/>
      <c r="E18" s="218"/>
      <c r="F18" s="218"/>
      <c r="G18" s="218"/>
      <c r="H18" s="218"/>
      <c r="I18" s="218"/>
      <c r="J18" s="218"/>
      <c r="M18" s="201"/>
      <c r="N18" s="216"/>
      <c r="O18" s="216"/>
      <c r="P18" s="214"/>
      <c r="Q18" s="214"/>
      <c r="R18" s="201"/>
    </row>
    <row r="19" spans="1:18" ht="24" customHeight="1" x14ac:dyDescent="0.25">
      <c r="A19" s="178" t="s">
        <v>19</v>
      </c>
      <c r="B19" s="179" t="s">
        <v>118</v>
      </c>
      <c r="C19" s="180" t="s">
        <v>3</v>
      </c>
      <c r="D19" s="181" t="s">
        <v>130</v>
      </c>
      <c r="E19" s="181" t="s">
        <v>132</v>
      </c>
      <c r="F19" s="181" t="s">
        <v>133</v>
      </c>
      <c r="G19" s="181" t="s">
        <v>134</v>
      </c>
      <c r="H19" s="181" t="s">
        <v>135</v>
      </c>
      <c r="I19" s="181" t="s">
        <v>136</v>
      </c>
      <c r="J19" s="181" t="s">
        <v>137</v>
      </c>
      <c r="M19" s="201"/>
      <c r="N19" s="201"/>
      <c r="O19" s="219"/>
      <c r="P19" s="219"/>
      <c r="Q19" s="219"/>
      <c r="R19" s="219"/>
    </row>
    <row r="20" spans="1:18" ht="15" customHeight="1" x14ac:dyDescent="0.25">
      <c r="A20" s="178"/>
      <c r="B20" s="179"/>
      <c r="C20" s="180" t="s">
        <v>5</v>
      </c>
      <c r="D20" s="186" t="s">
        <v>120</v>
      </c>
      <c r="E20" s="186" t="s">
        <v>120</v>
      </c>
      <c r="F20" s="186" t="s">
        <v>120</v>
      </c>
      <c r="G20" s="186" t="s">
        <v>120</v>
      </c>
      <c r="H20" s="207" t="s">
        <v>120</v>
      </c>
      <c r="I20" s="207" t="s">
        <v>119</v>
      </c>
      <c r="J20" s="220" t="s">
        <v>119</v>
      </c>
    </row>
    <row r="21" spans="1:18" ht="14.25" customHeight="1" x14ac:dyDescent="0.25">
      <c r="A21" s="178"/>
      <c r="B21" s="179"/>
      <c r="C21" s="180" t="s">
        <v>64</v>
      </c>
      <c r="D21" s="220" t="s">
        <v>111</v>
      </c>
      <c r="E21" s="186"/>
      <c r="F21" s="186"/>
      <c r="G21" s="220" t="s">
        <v>111</v>
      </c>
      <c r="H21" s="220" t="s">
        <v>111</v>
      </c>
      <c r="I21" s="220" t="s">
        <v>111</v>
      </c>
      <c r="J21" s="207" t="s">
        <v>124</v>
      </c>
    </row>
    <row r="22" spans="1:18" ht="14.25" customHeight="1" x14ac:dyDescent="0.25">
      <c r="A22" s="178"/>
      <c r="B22" s="179"/>
      <c r="C22" s="180"/>
      <c r="D22" s="220"/>
      <c r="E22" s="186"/>
      <c r="F22" s="186"/>
      <c r="G22" s="186"/>
      <c r="H22" s="207"/>
      <c r="I22" s="207"/>
      <c r="J22" s="191"/>
    </row>
    <row r="23" spans="1:18" ht="14.25" customHeight="1" x14ac:dyDescent="0.25">
      <c r="A23" s="178"/>
      <c r="B23" s="179"/>
      <c r="C23" s="193" t="s">
        <v>12</v>
      </c>
      <c r="D23" s="194"/>
      <c r="E23" s="194"/>
      <c r="F23" s="194"/>
      <c r="G23" s="194"/>
      <c r="H23" s="194"/>
      <c r="I23" s="194"/>
      <c r="J23" s="213" t="s">
        <v>119</v>
      </c>
    </row>
    <row r="24" spans="1:18" ht="14.25" customHeight="1" x14ac:dyDescent="0.25">
      <c r="A24" s="178"/>
      <c r="B24" s="179"/>
      <c r="C24" s="198" t="s">
        <v>15</v>
      </c>
      <c r="D24" s="194"/>
      <c r="E24" s="194"/>
      <c r="F24" s="194"/>
      <c r="G24" s="194"/>
      <c r="H24" s="221" t="s">
        <v>111</v>
      </c>
      <c r="I24" s="194"/>
      <c r="J24" s="194"/>
    </row>
    <row r="25" spans="1:18" ht="14.25" customHeight="1" x14ac:dyDescent="0.25">
      <c r="A25" s="178"/>
      <c r="B25" s="179"/>
      <c r="C25" s="200" t="s">
        <v>17</v>
      </c>
      <c r="D25" s="194"/>
      <c r="E25" s="194"/>
      <c r="F25" s="194"/>
      <c r="G25" s="194"/>
      <c r="H25" s="194"/>
      <c r="I25" s="194"/>
      <c r="J25" s="194"/>
    </row>
    <row r="26" spans="1:18" ht="15.75" x14ac:dyDescent="0.25">
      <c r="A26" s="178"/>
      <c r="B26" s="179"/>
      <c r="C26" s="180" t="s">
        <v>18</v>
      </c>
      <c r="D26" s="186" t="s">
        <v>119</v>
      </c>
      <c r="E26" s="186" t="s">
        <v>119</v>
      </c>
      <c r="F26" s="186" t="s">
        <v>119</v>
      </c>
      <c r="G26" s="186" t="s">
        <v>119</v>
      </c>
      <c r="H26" s="220" t="s">
        <v>119</v>
      </c>
      <c r="I26" s="187" t="s">
        <v>120</v>
      </c>
      <c r="J26" s="186" t="s">
        <v>120</v>
      </c>
    </row>
    <row r="27" spans="1:18" ht="15.75" x14ac:dyDescent="0.25">
      <c r="A27" s="178"/>
      <c r="B27" s="179"/>
      <c r="C27" s="180"/>
      <c r="D27" s="220" t="s">
        <v>111</v>
      </c>
      <c r="E27" s="186"/>
      <c r="F27" s="186"/>
      <c r="G27" s="186"/>
      <c r="H27" s="207" t="s">
        <v>108</v>
      </c>
      <c r="I27" s="186" t="s">
        <v>111</v>
      </c>
      <c r="J27" s="186"/>
    </row>
    <row r="28" spans="1:18" ht="15.75" x14ac:dyDescent="0.25">
      <c r="A28" s="178"/>
      <c r="B28" s="179"/>
      <c r="C28" s="193" t="s">
        <v>12</v>
      </c>
      <c r="D28" s="213" t="s">
        <v>111</v>
      </c>
      <c r="E28" s="212"/>
      <c r="F28" s="212"/>
      <c r="G28" s="211"/>
      <c r="H28" s="221" t="s">
        <v>119</v>
      </c>
      <c r="I28" s="213" t="s">
        <v>120</v>
      </c>
      <c r="J28" s="211"/>
    </row>
    <row r="29" spans="1:18" ht="14.25" customHeight="1" x14ac:dyDescent="0.25">
      <c r="A29" s="178"/>
      <c r="B29" s="179"/>
      <c r="C29" s="198" t="s">
        <v>15</v>
      </c>
      <c r="D29" s="211"/>
      <c r="E29" s="211"/>
      <c r="F29" s="211"/>
      <c r="G29" s="211"/>
      <c r="H29" s="211"/>
      <c r="I29" s="211"/>
      <c r="J29" s="211"/>
    </row>
    <row r="30" spans="1:18" ht="15" customHeight="1" x14ac:dyDescent="0.4">
      <c r="A30" s="178"/>
      <c r="C30" s="200" t="s">
        <v>17</v>
      </c>
      <c r="D30" s="215"/>
      <c r="E30" s="211"/>
      <c r="F30" s="211"/>
      <c r="G30" s="211"/>
      <c r="H30" s="211"/>
      <c r="I30" s="211"/>
      <c r="J30" s="211"/>
    </row>
    <row r="31" spans="1:18" ht="15.75" customHeight="1" x14ac:dyDescent="0.4">
      <c r="C31" s="217"/>
      <c r="D31" s="218"/>
      <c r="E31" s="218"/>
      <c r="F31" s="218"/>
      <c r="G31" s="218"/>
      <c r="H31" s="218"/>
      <c r="I31" s="218"/>
      <c r="J31" s="218"/>
    </row>
    <row r="32" spans="1:18" ht="15.75" x14ac:dyDescent="0.25">
      <c r="A32" s="178" t="s">
        <v>20</v>
      </c>
      <c r="B32" s="179" t="s">
        <v>118</v>
      </c>
      <c r="C32" s="180" t="s">
        <v>3</v>
      </c>
      <c r="D32" s="181" t="s">
        <v>138</v>
      </c>
      <c r="E32" s="181" t="s">
        <v>139</v>
      </c>
      <c r="F32" s="181" t="s">
        <v>140</v>
      </c>
      <c r="G32" s="181" t="s">
        <v>141</v>
      </c>
      <c r="H32" s="181" t="s">
        <v>142</v>
      </c>
      <c r="I32" s="181" t="s">
        <v>143</v>
      </c>
      <c r="J32" s="181" t="s">
        <v>144</v>
      </c>
    </row>
    <row r="33" spans="1:10" ht="29.25" customHeight="1" x14ac:dyDescent="0.25">
      <c r="A33" s="178"/>
      <c r="B33" s="179"/>
      <c r="C33" s="180" t="s">
        <v>5</v>
      </c>
      <c r="D33" s="186" t="s">
        <v>119</v>
      </c>
      <c r="E33" s="186" t="s">
        <v>119</v>
      </c>
      <c r="F33" s="186" t="s">
        <v>119</v>
      </c>
      <c r="G33" s="186" t="s">
        <v>119</v>
      </c>
      <c r="H33" s="186" t="s">
        <v>119</v>
      </c>
      <c r="I33" s="186" t="s">
        <v>119</v>
      </c>
      <c r="J33" s="220" t="s">
        <v>119</v>
      </c>
    </row>
    <row r="34" spans="1:10" ht="15.75" customHeight="1" x14ac:dyDescent="0.25">
      <c r="A34" s="178"/>
      <c r="B34" s="179"/>
      <c r="C34" s="180" t="s">
        <v>64</v>
      </c>
      <c r="D34" s="220" t="s">
        <v>111</v>
      </c>
      <c r="E34" s="186"/>
      <c r="F34" s="186" t="s">
        <v>111</v>
      </c>
      <c r="G34" s="186"/>
      <c r="H34" s="220" t="s">
        <v>111</v>
      </c>
      <c r="I34" s="186"/>
      <c r="J34" s="207" t="s">
        <v>111</v>
      </c>
    </row>
    <row r="35" spans="1:10" ht="15.75" x14ac:dyDescent="0.25">
      <c r="A35" s="178"/>
      <c r="B35" s="179"/>
      <c r="C35" s="193" t="s">
        <v>12</v>
      </c>
      <c r="D35" s="194"/>
      <c r="E35" s="194"/>
      <c r="F35" s="194"/>
      <c r="G35" s="194"/>
      <c r="H35" s="194"/>
      <c r="I35" s="194"/>
      <c r="J35" s="213" t="s">
        <v>119</v>
      </c>
    </row>
    <row r="36" spans="1:10" ht="15.75" x14ac:dyDescent="0.25">
      <c r="A36" s="178"/>
      <c r="B36" s="179"/>
      <c r="C36" s="198" t="s">
        <v>15</v>
      </c>
      <c r="D36" s="194"/>
      <c r="E36" s="194"/>
      <c r="F36" s="194"/>
      <c r="G36" s="194"/>
      <c r="H36" s="194"/>
      <c r="I36" s="194"/>
      <c r="J36" s="194"/>
    </row>
    <row r="37" spans="1:10" ht="15.75" x14ac:dyDescent="0.25">
      <c r="A37" s="178"/>
      <c r="B37" s="179"/>
      <c r="C37" s="200" t="s">
        <v>17</v>
      </c>
      <c r="D37" s="194"/>
      <c r="E37" s="194"/>
      <c r="F37" s="194"/>
      <c r="G37" s="194"/>
      <c r="H37" s="194"/>
      <c r="I37" s="194"/>
      <c r="J37" s="194"/>
    </row>
    <row r="38" spans="1:10" ht="15.75" x14ac:dyDescent="0.25">
      <c r="A38" s="178"/>
      <c r="B38" s="179"/>
      <c r="C38" s="180" t="s">
        <v>18</v>
      </c>
      <c r="D38" s="186" t="s">
        <v>120</v>
      </c>
      <c r="E38" s="186" t="s">
        <v>120</v>
      </c>
      <c r="F38" s="186" t="s">
        <v>120</v>
      </c>
      <c r="G38" s="186" t="s">
        <v>120</v>
      </c>
      <c r="H38" s="220" t="s">
        <v>120</v>
      </c>
      <c r="I38" s="220" t="s">
        <v>120</v>
      </c>
      <c r="J38" s="186" t="s">
        <v>120</v>
      </c>
    </row>
    <row r="39" spans="1:10" ht="15.75" x14ac:dyDescent="0.25">
      <c r="A39" s="178"/>
      <c r="B39" s="179"/>
      <c r="C39" s="180"/>
      <c r="D39" s="220" t="s">
        <v>111</v>
      </c>
      <c r="E39" s="186"/>
      <c r="F39" s="186"/>
      <c r="G39" s="186"/>
      <c r="H39" s="220" t="s">
        <v>111</v>
      </c>
      <c r="I39" s="220" t="s">
        <v>111</v>
      </c>
      <c r="J39" s="186"/>
    </row>
    <row r="40" spans="1:10" ht="15.75" x14ac:dyDescent="0.25">
      <c r="A40" s="178"/>
      <c r="B40" s="179"/>
      <c r="C40" s="180"/>
      <c r="D40" s="220"/>
      <c r="E40" s="186"/>
      <c r="F40" s="186"/>
      <c r="G40" s="186"/>
      <c r="H40" s="186" t="s">
        <v>108</v>
      </c>
      <c r="I40" s="186" t="s">
        <v>108</v>
      </c>
      <c r="J40" s="186"/>
    </row>
    <row r="41" spans="1:10" ht="15.75" x14ac:dyDescent="0.25">
      <c r="A41" s="178"/>
      <c r="B41" s="179"/>
      <c r="C41" s="193" t="s">
        <v>12</v>
      </c>
      <c r="D41" s="213" t="s">
        <v>111</v>
      </c>
      <c r="E41" s="212"/>
      <c r="F41" s="212"/>
      <c r="G41" s="211"/>
      <c r="H41" s="211" t="s">
        <v>120</v>
      </c>
      <c r="I41" s="213" t="s">
        <v>120</v>
      </c>
      <c r="J41" s="211"/>
    </row>
    <row r="42" spans="1:10" ht="15.75" x14ac:dyDescent="0.25">
      <c r="A42" s="178"/>
      <c r="B42" s="179"/>
      <c r="C42" s="198" t="s">
        <v>15</v>
      </c>
      <c r="D42" s="211"/>
      <c r="E42" s="211"/>
      <c r="F42" s="211"/>
      <c r="G42" s="211"/>
      <c r="H42" s="221" t="s">
        <v>163</v>
      </c>
      <c r="I42" s="221" t="s">
        <v>111</v>
      </c>
      <c r="J42" s="211"/>
    </row>
    <row r="43" spans="1:10" ht="15.75" x14ac:dyDescent="0.25">
      <c r="A43" s="178"/>
      <c r="B43" s="175"/>
      <c r="C43" s="200" t="s">
        <v>17</v>
      </c>
      <c r="D43" s="215"/>
      <c r="E43" s="211"/>
      <c r="F43" s="211"/>
      <c r="G43" s="211"/>
      <c r="H43" s="211"/>
      <c r="I43" s="211"/>
      <c r="J43" s="211"/>
    </row>
    <row r="44" spans="1:10" ht="17.25" customHeight="1" x14ac:dyDescent="0.4">
      <c r="A44" s="169"/>
      <c r="B44" s="222"/>
      <c r="C44" s="223"/>
      <c r="D44" s="224"/>
      <c r="E44" s="224"/>
      <c r="F44" s="224"/>
      <c r="G44" s="224"/>
      <c r="H44" s="224"/>
      <c r="I44" s="224"/>
      <c r="J44" s="218"/>
    </row>
    <row r="45" spans="1:10" ht="20.25" customHeight="1" x14ac:dyDescent="0.25">
      <c r="A45" s="178" t="s">
        <v>21</v>
      </c>
      <c r="B45" s="179" t="s">
        <v>118</v>
      </c>
      <c r="C45" s="180" t="s">
        <v>3</v>
      </c>
      <c r="D45" s="181" t="s">
        <v>145</v>
      </c>
      <c r="E45" s="181" t="s">
        <v>146</v>
      </c>
      <c r="F45" s="181" t="s">
        <v>147</v>
      </c>
      <c r="G45" s="181" t="s">
        <v>148</v>
      </c>
      <c r="H45" s="181" t="s">
        <v>149</v>
      </c>
      <c r="I45" s="181" t="s">
        <v>150</v>
      </c>
      <c r="J45" s="181" t="s">
        <v>151</v>
      </c>
    </row>
    <row r="46" spans="1:10" ht="20.25" customHeight="1" x14ac:dyDescent="0.25">
      <c r="A46" s="178"/>
      <c r="B46" s="179"/>
      <c r="C46" s="180" t="s">
        <v>5</v>
      </c>
      <c r="D46" s="186" t="s">
        <v>119</v>
      </c>
      <c r="E46" s="186" t="s">
        <v>119</v>
      </c>
      <c r="F46" s="186" t="s">
        <v>119</v>
      </c>
      <c r="G46" s="186" t="s">
        <v>119</v>
      </c>
      <c r="H46" s="207" t="s">
        <v>119</v>
      </c>
      <c r="I46" s="220" t="s">
        <v>119</v>
      </c>
      <c r="J46" s="220" t="s">
        <v>119</v>
      </c>
    </row>
    <row r="47" spans="1:10" ht="15.75" x14ac:dyDescent="0.25">
      <c r="A47" s="178"/>
      <c r="B47" s="179"/>
      <c r="C47" s="180" t="s">
        <v>64</v>
      </c>
      <c r="D47" s="220" t="s">
        <v>111</v>
      </c>
      <c r="E47" s="186"/>
      <c r="F47" s="186" t="s">
        <v>111</v>
      </c>
      <c r="G47" s="186"/>
      <c r="H47" s="220" t="s">
        <v>111</v>
      </c>
      <c r="I47" s="186" t="s">
        <v>111</v>
      </c>
      <c r="J47" s="207" t="s">
        <v>111</v>
      </c>
    </row>
    <row r="48" spans="1:10" ht="15.75" x14ac:dyDescent="0.25">
      <c r="A48" s="178"/>
      <c r="B48" s="179"/>
      <c r="C48" s="193" t="s">
        <v>12</v>
      </c>
      <c r="D48" s="213" t="s">
        <v>111</v>
      </c>
      <c r="E48" s="194"/>
      <c r="F48" s="194"/>
      <c r="G48" s="194"/>
      <c r="H48" s="194"/>
      <c r="I48" s="194"/>
      <c r="J48" s="213" t="s">
        <v>119</v>
      </c>
    </row>
    <row r="49" spans="1:21" ht="15.75" x14ac:dyDescent="0.25">
      <c r="A49" s="178"/>
      <c r="B49" s="179"/>
      <c r="C49" s="198" t="s">
        <v>15</v>
      </c>
      <c r="D49" s="194"/>
      <c r="E49" s="194"/>
      <c r="F49" s="194"/>
      <c r="G49" s="194"/>
      <c r="H49" s="194"/>
      <c r="I49" s="194"/>
      <c r="J49" s="194"/>
    </row>
    <row r="50" spans="1:21" ht="15.75" x14ac:dyDescent="0.25">
      <c r="A50" s="178"/>
      <c r="B50" s="179"/>
      <c r="C50" s="200" t="s">
        <v>17</v>
      </c>
      <c r="D50" s="194"/>
      <c r="E50" s="194"/>
      <c r="F50" s="194"/>
      <c r="G50" s="194"/>
      <c r="H50" s="194"/>
      <c r="I50" s="194"/>
      <c r="J50" s="194"/>
    </row>
    <row r="51" spans="1:21" ht="15.75" x14ac:dyDescent="0.25">
      <c r="A51" s="178"/>
      <c r="B51" s="179"/>
      <c r="C51" s="180" t="s">
        <v>18</v>
      </c>
      <c r="D51" s="186" t="s">
        <v>120</v>
      </c>
      <c r="E51" s="186" t="s">
        <v>120</v>
      </c>
      <c r="F51" s="186" t="s">
        <v>120</v>
      </c>
      <c r="G51" s="186" t="s">
        <v>120</v>
      </c>
      <c r="H51" s="220" t="s">
        <v>120</v>
      </c>
      <c r="I51" s="220" t="s">
        <v>120</v>
      </c>
      <c r="J51" s="186" t="s">
        <v>120</v>
      </c>
    </row>
    <row r="52" spans="1:21" ht="15.75" x14ac:dyDescent="0.25">
      <c r="A52" s="178"/>
      <c r="B52" s="179"/>
      <c r="C52" s="180"/>
      <c r="D52" s="220" t="s">
        <v>111</v>
      </c>
      <c r="E52" s="186"/>
      <c r="F52" s="186"/>
      <c r="G52" s="186"/>
      <c r="H52" s="186" t="s">
        <v>108</v>
      </c>
      <c r="I52" s="186" t="s">
        <v>108</v>
      </c>
      <c r="J52" s="186"/>
    </row>
    <row r="53" spans="1:21" ht="15.75" x14ac:dyDescent="0.25">
      <c r="A53" s="178"/>
      <c r="B53" s="179"/>
      <c r="C53" s="193" t="s">
        <v>12</v>
      </c>
      <c r="D53" s="211"/>
      <c r="E53" s="212"/>
      <c r="F53" s="212"/>
      <c r="G53" s="211"/>
      <c r="H53" s="211"/>
      <c r="I53" s="213" t="s">
        <v>120</v>
      </c>
      <c r="J53" s="211"/>
    </row>
    <row r="54" spans="1:21" ht="15.75" x14ac:dyDescent="0.25">
      <c r="A54" s="178"/>
      <c r="B54" s="179"/>
      <c r="C54" s="225" t="s">
        <v>15</v>
      </c>
      <c r="D54" s="211"/>
      <c r="E54" s="211"/>
      <c r="F54" s="211"/>
      <c r="G54" s="211"/>
      <c r="H54" s="221" t="s">
        <v>120</v>
      </c>
      <c r="I54" s="221" t="s">
        <v>119</v>
      </c>
      <c r="J54" s="211"/>
    </row>
    <row r="55" spans="1:21" ht="15.75" x14ac:dyDescent="0.25">
      <c r="A55" s="178"/>
      <c r="B55" s="175"/>
      <c r="C55" s="200" t="s">
        <v>17</v>
      </c>
      <c r="D55" s="215"/>
      <c r="E55" s="211"/>
      <c r="F55" s="211"/>
      <c r="G55" s="211"/>
      <c r="H55" s="211"/>
      <c r="I55" s="211"/>
      <c r="J55" s="211"/>
    </row>
    <row r="56" spans="1:21" x14ac:dyDescent="0.4">
      <c r="A56" s="169"/>
      <c r="B56" s="157"/>
      <c r="C56" s="217"/>
      <c r="D56" s="218"/>
      <c r="E56" s="218"/>
      <c r="F56" s="218"/>
      <c r="G56" s="218"/>
      <c r="H56" s="218"/>
      <c r="I56" s="218"/>
      <c r="J56" s="218"/>
      <c r="O56" s="226"/>
      <c r="P56" s="226"/>
      <c r="Q56" s="226"/>
      <c r="R56" s="226"/>
      <c r="S56" s="227"/>
      <c r="T56" s="226"/>
      <c r="U56" s="226"/>
    </row>
    <row r="57" spans="1:21" ht="15.75" x14ac:dyDescent="0.25">
      <c r="A57" s="178" t="s">
        <v>22</v>
      </c>
      <c r="B57" s="179" t="s">
        <v>118</v>
      </c>
      <c r="C57" s="180" t="s">
        <v>3</v>
      </c>
      <c r="D57" s="181" t="s">
        <v>152</v>
      </c>
      <c r="E57" s="181" t="s">
        <v>153</v>
      </c>
      <c r="F57" s="181" t="s">
        <v>154</v>
      </c>
      <c r="G57" s="181" t="s">
        <v>155</v>
      </c>
      <c r="H57" s="181" t="s">
        <v>156</v>
      </c>
      <c r="I57" s="181" t="s">
        <v>157</v>
      </c>
      <c r="J57" s="181" t="s">
        <v>158</v>
      </c>
      <c r="O57" s="226"/>
      <c r="P57" s="226"/>
      <c r="Q57" s="226"/>
      <c r="R57" s="226"/>
      <c r="S57" s="227"/>
      <c r="T57" s="226"/>
      <c r="U57" s="226"/>
    </row>
    <row r="58" spans="1:21" ht="18" customHeight="1" x14ac:dyDescent="0.25">
      <c r="A58" s="178"/>
      <c r="B58" s="179"/>
      <c r="C58" s="180" t="s">
        <v>5</v>
      </c>
      <c r="D58" s="186" t="s">
        <v>119</v>
      </c>
      <c r="E58" s="186" t="s">
        <v>119</v>
      </c>
      <c r="F58" s="186" t="s">
        <v>119</v>
      </c>
      <c r="G58" s="186" t="s">
        <v>119</v>
      </c>
      <c r="H58" s="186" t="s">
        <v>119</v>
      </c>
      <c r="I58" s="220" t="s">
        <v>119</v>
      </c>
      <c r="J58" s="220" t="s">
        <v>119</v>
      </c>
      <c r="L58" s="176"/>
    </row>
    <row r="59" spans="1:21" ht="15.75" x14ac:dyDescent="0.25">
      <c r="A59" s="178"/>
      <c r="B59" s="179"/>
      <c r="C59" s="180" t="s">
        <v>64</v>
      </c>
      <c r="D59" s="186"/>
      <c r="E59" s="186"/>
      <c r="F59" s="186" t="s">
        <v>111</v>
      </c>
      <c r="G59" s="186"/>
      <c r="H59" s="220" t="s">
        <v>111</v>
      </c>
      <c r="I59" s="186" t="s">
        <v>111</v>
      </c>
      <c r="J59" s="207" t="s">
        <v>111</v>
      </c>
    </row>
    <row r="60" spans="1:21" ht="15.75" x14ac:dyDescent="0.25">
      <c r="A60" s="178"/>
      <c r="B60" s="179"/>
      <c r="C60" s="193" t="s">
        <v>12</v>
      </c>
      <c r="D60" s="194"/>
      <c r="E60" s="194"/>
      <c r="F60" s="194"/>
      <c r="G60" s="194"/>
      <c r="H60" s="194"/>
      <c r="I60" s="194"/>
      <c r="J60" s="213" t="s">
        <v>119</v>
      </c>
    </row>
    <row r="61" spans="1:21" ht="15.75" x14ac:dyDescent="0.25">
      <c r="A61" s="178"/>
      <c r="B61" s="179"/>
      <c r="C61" s="198" t="s">
        <v>15</v>
      </c>
      <c r="D61" s="194"/>
      <c r="E61" s="194"/>
      <c r="F61" s="194"/>
      <c r="G61" s="194"/>
      <c r="H61" s="194"/>
      <c r="I61" s="194"/>
      <c r="J61" s="194"/>
    </row>
    <row r="62" spans="1:21" ht="15.75" x14ac:dyDescent="0.25">
      <c r="A62" s="178"/>
      <c r="B62" s="179"/>
      <c r="C62" s="200" t="s">
        <v>17</v>
      </c>
      <c r="D62" s="194"/>
      <c r="E62" s="194"/>
      <c r="F62" s="194"/>
      <c r="G62" s="194"/>
      <c r="H62" s="194"/>
      <c r="I62" s="194"/>
      <c r="J62" s="194"/>
    </row>
    <row r="63" spans="1:21" ht="15.75" x14ac:dyDescent="0.25">
      <c r="A63" s="178"/>
      <c r="B63" s="179"/>
      <c r="C63" s="180" t="s">
        <v>18</v>
      </c>
      <c r="D63" s="186" t="s">
        <v>120</v>
      </c>
      <c r="E63" s="186" t="s">
        <v>120</v>
      </c>
      <c r="F63" s="186" t="s">
        <v>120</v>
      </c>
      <c r="G63" s="186" t="s">
        <v>120</v>
      </c>
      <c r="H63" s="220" t="s">
        <v>120</v>
      </c>
      <c r="I63" s="220" t="s">
        <v>120</v>
      </c>
      <c r="J63" s="186" t="s">
        <v>120</v>
      </c>
    </row>
    <row r="64" spans="1:21" ht="15.75" x14ac:dyDescent="0.25">
      <c r="A64" s="178"/>
      <c r="B64" s="179"/>
      <c r="C64" s="180"/>
      <c r="D64" s="220" t="s">
        <v>111</v>
      </c>
      <c r="E64" s="186"/>
      <c r="F64" s="186"/>
      <c r="G64" s="186"/>
      <c r="H64" s="186" t="s">
        <v>108</v>
      </c>
      <c r="I64" s="186" t="s">
        <v>108</v>
      </c>
      <c r="J64" s="186"/>
    </row>
    <row r="65" spans="1:10" ht="15.75" x14ac:dyDescent="0.25">
      <c r="A65" s="178"/>
      <c r="B65" s="179"/>
      <c r="C65" s="193" t="s">
        <v>12</v>
      </c>
      <c r="D65" s="213" t="s">
        <v>111</v>
      </c>
      <c r="E65" s="212"/>
      <c r="F65" s="212"/>
      <c r="G65" s="211"/>
      <c r="H65" s="211"/>
      <c r="I65" s="213" t="s">
        <v>120</v>
      </c>
      <c r="J65" s="211"/>
    </row>
    <row r="66" spans="1:10" ht="15.75" x14ac:dyDescent="0.25">
      <c r="A66" s="178"/>
      <c r="B66" s="179"/>
      <c r="C66" s="225" t="s">
        <v>15</v>
      </c>
      <c r="D66" s="211"/>
      <c r="E66" s="211"/>
      <c r="F66" s="211"/>
      <c r="G66" s="211"/>
      <c r="H66" s="221" t="s">
        <v>163</v>
      </c>
      <c r="I66" s="221" t="s">
        <v>119</v>
      </c>
      <c r="J66" s="211"/>
    </row>
    <row r="67" spans="1:10" ht="15.75" x14ac:dyDescent="0.25">
      <c r="A67" s="178"/>
      <c r="B67" s="175"/>
      <c r="C67" s="200" t="s">
        <v>17</v>
      </c>
      <c r="D67" s="215"/>
      <c r="E67" s="211"/>
      <c r="F67" s="211"/>
      <c r="G67" s="211"/>
      <c r="H67" s="211"/>
      <c r="I67" s="211"/>
      <c r="J67" s="211"/>
    </row>
    <row r="68" spans="1:10" ht="15.75" x14ac:dyDescent="0.25">
      <c r="A68" s="175"/>
      <c r="B68" s="175"/>
      <c r="C68" s="217"/>
      <c r="D68" s="228"/>
      <c r="E68" s="228"/>
      <c r="F68" s="228"/>
      <c r="G68" s="228"/>
      <c r="H68" s="228"/>
      <c r="I68" s="228"/>
      <c r="J68" s="228"/>
    </row>
    <row r="70" spans="1:10" x14ac:dyDescent="0.4">
      <c r="C70" s="226" t="s">
        <v>126</v>
      </c>
    </row>
    <row r="72" spans="1:10" x14ac:dyDescent="0.4">
      <c r="D72" s="170" t="s">
        <v>119</v>
      </c>
      <c r="E72" s="170" t="s">
        <v>117</v>
      </c>
    </row>
    <row r="73" spans="1:10" x14ac:dyDescent="0.4">
      <c r="D73" s="170" t="s">
        <v>120</v>
      </c>
    </row>
    <row r="74" spans="1:10" x14ac:dyDescent="0.4">
      <c r="D74" s="170" t="s">
        <v>111</v>
      </c>
    </row>
  </sheetData>
  <mergeCells count="12">
    <mergeCell ref="B45:B54"/>
    <mergeCell ref="A57:A67"/>
    <mergeCell ref="B57:B66"/>
    <mergeCell ref="C2:J2"/>
    <mergeCell ref="C3:J3"/>
    <mergeCell ref="A7:A17"/>
    <mergeCell ref="B7:B16"/>
    <mergeCell ref="A19:A30"/>
    <mergeCell ref="B19:B29"/>
    <mergeCell ref="A32:A43"/>
    <mergeCell ref="B32:B42"/>
    <mergeCell ref="A45:A5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CACAO 1</vt:lpstr>
      <vt:lpstr>Hoja1</vt:lpstr>
      <vt:lpstr>CACAO C1</vt:lpstr>
      <vt:lpstr>CAJA CACAO</vt:lpstr>
      <vt:lpstr>TRUCK STOP</vt:lpstr>
      <vt:lpstr>CAJA TRUCK STOP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Muebles de Classe</dc:creator>
  <cp:lastModifiedBy>Ivan Ivan</cp:lastModifiedBy>
  <cp:lastPrinted>2026-06-23T18:01:31Z</cp:lastPrinted>
  <dcterms:created xsi:type="dcterms:W3CDTF">2026-05-25T16:46:47Z</dcterms:created>
  <dcterms:modified xsi:type="dcterms:W3CDTF">2026-06-23T19:00:19Z</dcterms:modified>
</cp:coreProperties>
</file>